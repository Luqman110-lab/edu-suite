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50"/>
  </bookViews>
  <sheets>
    <sheet name="SOUTH" sheetId="7" r:id="rId1"/>
    <sheet name="NORTH" sheetId="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0" i="7" l="1"/>
  <c r="D15" i="7"/>
  <c r="D6" i="7" l="1"/>
  <c r="D8" i="7"/>
  <c r="D44" i="7"/>
  <c r="F6" i="7"/>
  <c r="F8" i="7"/>
  <c r="F15" i="7"/>
  <c r="F44" i="7"/>
  <c r="H6" i="7"/>
  <c r="H8" i="7"/>
  <c r="H15" i="7"/>
  <c r="H44" i="7"/>
  <c r="J6" i="7"/>
  <c r="J8" i="7"/>
  <c r="J15" i="7"/>
  <c r="J44" i="7"/>
  <c r="K44" i="7" s="1"/>
  <c r="L44" i="7" s="1"/>
  <c r="M6" i="7"/>
  <c r="M8" i="7"/>
  <c r="M15" i="7"/>
  <c r="M44" i="7"/>
  <c r="K6" i="7" l="1"/>
  <c r="L6" i="7" s="1"/>
  <c r="K15" i="7"/>
  <c r="L15" i="7" s="1"/>
  <c r="K8" i="7"/>
  <c r="L8" i="7" s="1"/>
  <c r="F11" i="7"/>
  <c r="D42" i="7"/>
  <c r="H34" i="7" l="1"/>
  <c r="H43" i="7"/>
  <c r="H27" i="7"/>
  <c r="H18" i="7"/>
  <c r="H22" i="7"/>
  <c r="H35" i="7"/>
  <c r="H13" i="7"/>
  <c r="H36" i="7"/>
  <c r="H32" i="7"/>
  <c r="H19" i="7"/>
  <c r="H12" i="7"/>
  <c r="H24" i="7"/>
  <c r="H40" i="7"/>
  <c r="H41" i="7"/>
  <c r="H39" i="7"/>
  <c r="H23" i="7"/>
  <c r="H26" i="7"/>
  <c r="H31" i="7"/>
  <c r="H28" i="7"/>
  <c r="H42" i="7"/>
  <c r="H14" i="7"/>
  <c r="H20" i="7"/>
  <c r="H16" i="7"/>
  <c r="H25" i="7"/>
  <c r="H30" i="7"/>
  <c r="H33" i="7"/>
  <c r="H7" i="7"/>
  <c r="H37" i="7"/>
  <c r="H21" i="7"/>
  <c r="H10" i="7"/>
  <c r="H9" i="7"/>
  <c r="H11" i="7"/>
  <c r="H17" i="7"/>
  <c r="H5" i="7"/>
  <c r="H38" i="7"/>
  <c r="H29" i="7"/>
  <c r="F31" i="7" l="1"/>
  <c r="F21" i="7"/>
  <c r="D10" i="7" l="1"/>
  <c r="F10" i="7"/>
  <c r="J10" i="7"/>
  <c r="K10" i="7" s="1"/>
  <c r="L10" i="7" s="1"/>
  <c r="D43" i="7"/>
  <c r="F43" i="7"/>
  <c r="J43" i="7"/>
  <c r="D27" i="7"/>
  <c r="F27" i="7"/>
  <c r="J27" i="7"/>
  <c r="D34" i="7"/>
  <c r="F34" i="7"/>
  <c r="J34" i="7"/>
  <c r="D9" i="7"/>
  <c r="F9" i="7"/>
  <c r="J9" i="7"/>
  <c r="D11" i="7"/>
  <c r="J11" i="7"/>
  <c r="D17" i="7"/>
  <c r="F17" i="7"/>
  <c r="J17" i="7"/>
  <c r="K17" i="7" s="1"/>
  <c r="L17" i="7" s="1"/>
  <c r="D35" i="7"/>
  <c r="F35" i="7"/>
  <c r="J35" i="7"/>
  <c r="D18" i="7"/>
  <c r="F18" i="7"/>
  <c r="J18" i="7"/>
  <c r="D32" i="7"/>
  <c r="F32" i="7"/>
  <c r="J32" i="7"/>
  <c r="D22" i="7"/>
  <c r="F22" i="7"/>
  <c r="J22" i="7"/>
  <c r="D19" i="7"/>
  <c r="F19" i="7"/>
  <c r="J19" i="7"/>
  <c r="D12" i="7"/>
  <c r="F12" i="7"/>
  <c r="J12" i="7"/>
  <c r="D36" i="7"/>
  <c r="F36" i="7"/>
  <c r="J36" i="7"/>
  <c r="D13" i="7"/>
  <c r="F13" i="7"/>
  <c r="J13" i="7"/>
  <c r="F42" i="7"/>
  <c r="J42" i="7"/>
  <c r="D23" i="7"/>
  <c r="F23" i="7"/>
  <c r="J23" i="7"/>
  <c r="D28" i="7"/>
  <c r="F28" i="7"/>
  <c r="J28" i="7"/>
  <c r="D31" i="7"/>
  <c r="J31" i="7"/>
  <c r="D29" i="7"/>
  <c r="F29" i="7"/>
  <c r="J29" i="7"/>
  <c r="D26" i="7"/>
  <c r="F26" i="7"/>
  <c r="J26" i="7"/>
  <c r="D24" i="7"/>
  <c r="F24" i="7"/>
  <c r="J24" i="7"/>
  <c r="D39" i="7"/>
  <c r="F39" i="7"/>
  <c r="J39" i="7"/>
  <c r="D5" i="7"/>
  <c r="F5" i="7"/>
  <c r="J5" i="7"/>
  <c r="D14" i="7"/>
  <c r="F14" i="7"/>
  <c r="J14" i="7"/>
  <c r="D41" i="7"/>
  <c r="F41" i="7"/>
  <c r="J41" i="7"/>
  <c r="D37" i="7"/>
  <c r="F37" i="7"/>
  <c r="J37" i="7"/>
  <c r="D40" i="7"/>
  <c r="F40" i="7"/>
  <c r="D30" i="7"/>
  <c r="F30" i="7"/>
  <c r="J30" i="7"/>
  <c r="D20" i="7"/>
  <c r="F20" i="7"/>
  <c r="J20" i="7"/>
  <c r="D7" i="7"/>
  <c r="F7" i="7"/>
  <c r="J7" i="7"/>
  <c r="D16" i="7"/>
  <c r="F16" i="7"/>
  <c r="J16" i="7"/>
  <c r="D38" i="7"/>
  <c r="F38" i="7"/>
  <c r="J38" i="7"/>
  <c r="D33" i="7"/>
  <c r="F33" i="7"/>
  <c r="J33" i="7"/>
  <c r="D25" i="7"/>
  <c r="F25" i="7"/>
  <c r="J25" i="7"/>
  <c r="D21" i="7"/>
  <c r="J21" i="7"/>
  <c r="K5" i="7" l="1"/>
  <c r="L5" i="7" s="1"/>
  <c r="K42" i="7"/>
  <c r="L42" i="7" s="1"/>
  <c r="K11" i="7"/>
  <c r="L11" i="7" s="1"/>
  <c r="K38" i="7"/>
  <c r="L38" i="7" s="1"/>
  <c r="K19" i="7"/>
  <c r="L19" i="7" s="1"/>
  <c r="K18" i="7"/>
  <c r="L18" i="7" s="1"/>
  <c r="K9" i="7"/>
  <c r="L9" i="7" s="1"/>
  <c r="K21" i="7"/>
  <c r="L21" i="7" s="1"/>
  <c r="K36" i="7"/>
  <c r="L36" i="7" s="1"/>
  <c r="K27" i="7"/>
  <c r="L27" i="7" s="1"/>
  <c r="K14" i="7"/>
  <c r="L14" i="7" s="1"/>
  <c r="K13" i="7"/>
  <c r="L13" i="7" s="1"/>
  <c r="K30" i="7"/>
  <c r="L30" i="7" s="1"/>
  <c r="K25" i="7"/>
  <c r="L25" i="7" s="1"/>
  <c r="K7" i="7"/>
  <c r="L7" i="7" s="1"/>
  <c r="K43" i="7"/>
  <c r="L43" i="7" s="1"/>
  <c r="K23" i="7"/>
  <c r="L23" i="7" s="1"/>
  <c r="K16" i="7"/>
  <c r="L16" i="7" s="1"/>
  <c r="K41" i="7"/>
  <c r="L41" i="7" s="1"/>
  <c r="K35" i="7"/>
  <c r="L35" i="7" s="1"/>
  <c r="K12" i="7"/>
  <c r="L12" i="7" s="1"/>
  <c r="K40" i="7"/>
  <c r="L40" i="7" s="1"/>
  <c r="K20" i="7"/>
  <c r="L20" i="7" s="1"/>
  <c r="K34" i="7"/>
  <c r="L34" i="7" s="1"/>
  <c r="K33" i="7"/>
  <c r="L33" i="7" s="1"/>
  <c r="K37" i="7"/>
  <c r="L37" i="7" s="1"/>
  <c r="K31" i="7"/>
  <c r="L31" i="7" s="1"/>
  <c r="K28" i="7"/>
  <c r="L28" i="7" s="1"/>
  <c r="K32" i="7"/>
  <c r="L32" i="7" s="1"/>
  <c r="K29" i="7"/>
  <c r="L29" i="7" s="1"/>
  <c r="K26" i="7"/>
  <c r="L26" i="7" s="1"/>
  <c r="K39" i="7"/>
  <c r="L39" i="7" s="1"/>
  <c r="K22" i="7"/>
  <c r="L22" i="7" s="1"/>
  <c r="K24" i="7"/>
  <c r="L24" i="7" s="1"/>
  <c r="M28" i="7"/>
  <c r="M7" i="7"/>
  <c r="M18" i="7"/>
  <c r="M39" i="7"/>
  <c r="M10" i="7"/>
  <c r="M41" i="7"/>
  <c r="M42" i="7"/>
  <c r="M25" i="7"/>
  <c r="M29" i="7"/>
  <c r="M40" i="7"/>
  <c r="M22" i="7"/>
  <c r="M17" i="7"/>
  <c r="M23" i="7"/>
  <c r="M13" i="7"/>
  <c r="M30" i="7"/>
  <c r="M26" i="7"/>
  <c r="M12" i="7"/>
  <c r="M16" i="7"/>
  <c r="M36" i="7"/>
  <c r="M37" i="7"/>
  <c r="M32" i="7"/>
  <c r="M19" i="7"/>
  <c r="M20" i="7"/>
  <c r="M33" i="7"/>
  <c r="M27" i="7"/>
  <c r="M43" i="7"/>
  <c r="M14" i="7"/>
  <c r="M34" i="7"/>
  <c r="M9" i="7"/>
  <c r="M21" i="7"/>
  <c r="M38" i="7"/>
  <c r="M11" i="7"/>
  <c r="M31" i="7"/>
  <c r="M24" i="7"/>
  <c r="M35" i="7"/>
  <c r="M5" i="7"/>
  <c r="M6" i="8" l="1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9" i="8"/>
  <c r="M40" i="8"/>
  <c r="M41" i="8"/>
  <c r="M42" i="8"/>
  <c r="M43" i="8"/>
  <c r="M44" i="8"/>
  <c r="M38" i="8"/>
  <c r="M5" i="8"/>
  <c r="K6" i="8"/>
  <c r="L6" i="8" s="1"/>
  <c r="K7" i="8"/>
  <c r="L7" i="8" s="1"/>
  <c r="K8" i="8"/>
  <c r="L8" i="8" s="1"/>
  <c r="K9" i="8"/>
  <c r="L9" i="8" s="1"/>
  <c r="K10" i="8"/>
  <c r="L10" i="8" s="1"/>
  <c r="K11" i="8"/>
  <c r="L11" i="8" s="1"/>
  <c r="K12" i="8"/>
  <c r="L12" i="8" s="1"/>
  <c r="K13" i="8"/>
  <c r="L13" i="8" s="1"/>
  <c r="K14" i="8"/>
  <c r="L14" i="8" s="1"/>
  <c r="K15" i="8"/>
  <c r="L15" i="8" s="1"/>
  <c r="K16" i="8"/>
  <c r="L16" i="8" s="1"/>
  <c r="K17" i="8"/>
  <c r="L17" i="8" s="1"/>
  <c r="K18" i="8"/>
  <c r="L18" i="8" s="1"/>
  <c r="K19" i="8"/>
  <c r="L19" i="8" s="1"/>
  <c r="K20" i="8"/>
  <c r="L20" i="8" s="1"/>
  <c r="K21" i="8"/>
  <c r="L21" i="8" s="1"/>
  <c r="K22" i="8"/>
  <c r="L22" i="8" s="1"/>
  <c r="K23" i="8"/>
  <c r="L23" i="8" s="1"/>
  <c r="K24" i="8"/>
  <c r="L24" i="8" s="1"/>
  <c r="K25" i="8"/>
  <c r="L25" i="8" s="1"/>
  <c r="K26" i="8"/>
  <c r="L26" i="8" s="1"/>
  <c r="K27" i="8"/>
  <c r="L27" i="8" s="1"/>
  <c r="K28" i="8"/>
  <c r="L28" i="8" s="1"/>
  <c r="K29" i="8"/>
  <c r="L29" i="8" s="1"/>
  <c r="K30" i="8"/>
  <c r="L30" i="8" s="1"/>
  <c r="K31" i="8"/>
  <c r="L31" i="8" s="1"/>
  <c r="K32" i="8"/>
  <c r="L32" i="8" s="1"/>
  <c r="K33" i="8"/>
  <c r="L33" i="8" s="1"/>
  <c r="K34" i="8"/>
  <c r="L34" i="8" s="1"/>
  <c r="K35" i="8"/>
  <c r="L35" i="8" s="1"/>
  <c r="K36" i="8"/>
  <c r="L36" i="8" s="1"/>
  <c r="K37" i="8"/>
  <c r="L37" i="8" s="1"/>
  <c r="K39" i="8"/>
  <c r="L39" i="8" s="1"/>
  <c r="K40" i="8"/>
  <c r="L40" i="8" s="1"/>
  <c r="K41" i="8"/>
  <c r="L41" i="8" s="1"/>
  <c r="K42" i="8"/>
  <c r="L42" i="8" s="1"/>
  <c r="K43" i="8"/>
  <c r="L43" i="8" s="1"/>
  <c r="K44" i="8"/>
  <c r="L44" i="8" s="1"/>
  <c r="K38" i="8"/>
  <c r="L38" i="8" s="1"/>
  <c r="J6" i="8" l="1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9" i="8"/>
  <c r="J40" i="8"/>
  <c r="J41" i="8"/>
  <c r="J42" i="8"/>
  <c r="J43" i="8"/>
  <c r="J44" i="8"/>
  <c r="J38" i="8"/>
  <c r="J5" i="8"/>
  <c r="F59" i="8" s="1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38" i="8"/>
  <c r="H5" i="8"/>
  <c r="K58" i="8" s="1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38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9" i="8"/>
  <c r="D40" i="8"/>
  <c r="D41" i="8"/>
  <c r="D42" i="8"/>
  <c r="D43" i="8"/>
  <c r="D44" i="8"/>
  <c r="D38" i="8"/>
  <c r="D5" i="8"/>
  <c r="C66" i="8"/>
  <c r="C65" i="8"/>
  <c r="C64" i="8"/>
  <c r="C63" i="8"/>
  <c r="D66" i="8"/>
  <c r="D65" i="8"/>
  <c r="D64" i="8"/>
  <c r="E66" i="8"/>
  <c r="E65" i="8"/>
  <c r="E64" i="8"/>
  <c r="E63" i="8"/>
  <c r="D63" i="8"/>
  <c r="J59" i="8"/>
  <c r="E59" i="7"/>
  <c r="D59" i="7"/>
  <c r="C59" i="7"/>
  <c r="E57" i="7"/>
  <c r="D57" i="7"/>
  <c r="E58" i="7"/>
  <c r="D58" i="7"/>
  <c r="C58" i="7"/>
  <c r="C57" i="7"/>
  <c r="D57" i="8" l="1"/>
  <c r="J56" i="8"/>
  <c r="K5" i="8"/>
  <c r="H57" i="8"/>
  <c r="I59" i="8"/>
  <c r="F56" i="8"/>
  <c r="C56" i="8"/>
  <c r="H56" i="8"/>
  <c r="G56" i="8"/>
  <c r="C58" i="8"/>
  <c r="J58" i="8"/>
  <c r="G58" i="8"/>
  <c r="K57" i="8"/>
  <c r="I57" i="8"/>
  <c r="C59" i="8"/>
  <c r="G59" i="8"/>
  <c r="K59" i="8"/>
  <c r="D59" i="8"/>
  <c r="H59" i="8"/>
  <c r="E59" i="8"/>
  <c r="D58" i="8"/>
  <c r="H58" i="8"/>
  <c r="E58" i="8"/>
  <c r="I58" i="8"/>
  <c r="F58" i="8"/>
  <c r="E57" i="8"/>
  <c r="F57" i="8"/>
  <c r="J57" i="8"/>
  <c r="C57" i="8"/>
  <c r="G57" i="8"/>
  <c r="D56" i="8"/>
  <c r="I56" i="8"/>
  <c r="E56" i="8"/>
  <c r="K56" i="8"/>
  <c r="E56" i="7"/>
  <c r="D56" i="7"/>
  <c r="C56" i="7"/>
  <c r="I52" i="7"/>
  <c r="J51" i="7"/>
  <c r="H52" i="7"/>
  <c r="I51" i="7"/>
  <c r="J50" i="7"/>
  <c r="F51" i="7" l="1"/>
  <c r="E52" i="7"/>
  <c r="F52" i="7"/>
  <c r="C52" i="7"/>
  <c r="G52" i="7"/>
  <c r="K52" i="7"/>
  <c r="J52" i="7"/>
  <c r="D52" i="7"/>
  <c r="C51" i="7"/>
  <c r="G51" i="7"/>
  <c r="K51" i="7"/>
  <c r="D51" i="7"/>
  <c r="H51" i="7"/>
  <c r="E51" i="7"/>
  <c r="C50" i="7"/>
  <c r="G50" i="7"/>
  <c r="K50" i="7"/>
  <c r="D50" i="7"/>
  <c r="H50" i="7"/>
  <c r="E50" i="7"/>
  <c r="I50" i="7"/>
  <c r="F50" i="7"/>
  <c r="C69" i="8"/>
  <c r="L5" i="8"/>
  <c r="D49" i="7"/>
  <c r="E49" i="7"/>
  <c r="I49" i="7"/>
  <c r="H49" i="7"/>
  <c r="K49" i="7"/>
  <c r="F49" i="7"/>
  <c r="J49" i="7"/>
  <c r="C49" i="7"/>
  <c r="G49" i="7"/>
  <c r="C71" i="8" l="1"/>
  <c r="C70" i="8"/>
  <c r="C62" i="7"/>
  <c r="C63" i="7" l="1"/>
  <c r="C64" i="7"/>
</calcChain>
</file>

<file path=xl/sharedStrings.xml><?xml version="1.0" encoding="utf-8"?>
<sst xmlns="http://schemas.openxmlformats.org/spreadsheetml/2006/main" count="223" uniqueCount="158">
  <si>
    <t>BROADWAY NURSERY AND PRIMARY SCHOOL</t>
  </si>
  <si>
    <t>SCORES</t>
  </si>
  <si>
    <t>RESULT</t>
  </si>
  <si>
    <t>NO</t>
  </si>
  <si>
    <t xml:space="preserve">NAME </t>
  </si>
  <si>
    <t>ENG</t>
  </si>
  <si>
    <t>AGG</t>
  </si>
  <si>
    <t>MTC</t>
  </si>
  <si>
    <t>SCI</t>
  </si>
  <si>
    <t>SST</t>
  </si>
  <si>
    <t>DIV</t>
  </si>
  <si>
    <t>II</t>
  </si>
  <si>
    <t>ATEGEKA MARVIN</t>
  </si>
  <si>
    <t>ATUHURA JOVAN</t>
  </si>
  <si>
    <t>KASIRYE JONATHAN</t>
  </si>
  <si>
    <t>KATONGOLE HENRY</t>
  </si>
  <si>
    <t>KEMIREMBE MARY</t>
  </si>
  <si>
    <t>KILALA VICENT</t>
  </si>
  <si>
    <t>KOBUGABE HARRIET</t>
  </si>
  <si>
    <t>NAMUBIRU RITAH</t>
  </si>
  <si>
    <t>SSEKANKYA KEVIN</t>
  </si>
  <si>
    <t>NAMBUYA SUZAN</t>
  </si>
  <si>
    <t>TWINOMUGISHA HOPE</t>
  </si>
  <si>
    <t>NAMAGGA AGNES</t>
  </si>
  <si>
    <t>NAKANYIKE VERA</t>
  </si>
  <si>
    <t>SSEKATE ALVIN</t>
  </si>
  <si>
    <t>BUKENYA SAIF</t>
  </si>
  <si>
    <t>BUKENYA SADAM</t>
  </si>
  <si>
    <t>NABUKENYA AISHA</t>
  </si>
  <si>
    <t>NAMIREMBE ROSE</t>
  </si>
  <si>
    <t>MUBIRU TRAVOR</t>
  </si>
  <si>
    <t>NANYONGA VANESA</t>
  </si>
  <si>
    <t>AYESIGA LAUBEN</t>
  </si>
  <si>
    <t>MULUMBA ABDULRAHMAN</t>
  </si>
  <si>
    <t>NANGOONZI PETRONILLAH</t>
  </si>
  <si>
    <t>MUHANGUZI NASSER</t>
  </si>
  <si>
    <t>NAMULI ANITAH</t>
  </si>
  <si>
    <t>GRADING SCALE</t>
  </si>
  <si>
    <t>DIVISION</t>
  </si>
  <si>
    <t>I</t>
  </si>
  <si>
    <t>III</t>
  </si>
  <si>
    <t>U</t>
  </si>
  <si>
    <t>PERFORMANCE ANALYSIS</t>
  </si>
  <si>
    <t xml:space="preserve">SUBJECT </t>
  </si>
  <si>
    <t>D1</t>
  </si>
  <si>
    <t>D2</t>
  </si>
  <si>
    <t>C3</t>
  </si>
  <si>
    <t>C4</t>
  </si>
  <si>
    <t>C5</t>
  </si>
  <si>
    <t>C6</t>
  </si>
  <si>
    <t>P7</t>
  </si>
  <si>
    <t>P8</t>
  </si>
  <si>
    <t>F9</t>
  </si>
  <si>
    <t>MATH</t>
  </si>
  <si>
    <t>MARKS ANALYSIS PER SUBJECT</t>
  </si>
  <si>
    <t>MAX</t>
  </si>
  <si>
    <t>MIN</t>
  </si>
  <si>
    <t>BEST PERFORMING LEARNER</t>
  </si>
  <si>
    <t>NAME</t>
  </si>
  <si>
    <t>TT</t>
  </si>
  <si>
    <t>AVG</t>
  </si>
  <si>
    <t>RWIBUTISO AIM BRUNO</t>
  </si>
  <si>
    <t>NAMULONDO KWAGALA JEMIMAH</t>
  </si>
  <si>
    <t>KAKEMBO RAMADHAN</t>
  </si>
  <si>
    <t>NAMUTEBI SALIMA</t>
  </si>
  <si>
    <t>NABUNYA PAVIN</t>
  </si>
  <si>
    <t>AYEBALE EDISON</t>
  </si>
  <si>
    <t>MUWANGUZI MORICE</t>
  </si>
  <si>
    <t>NAMPIJJA MILLIANI</t>
  </si>
  <si>
    <t>LWERE HALUNA</t>
  </si>
  <si>
    <t>NAGAWA NOREEN</t>
  </si>
  <si>
    <t>TUHAISE SHARON</t>
  </si>
  <si>
    <t>TUMUSIIME MATHIAS</t>
  </si>
  <si>
    <t>WALUKAGGA IAN GIFT</t>
  </si>
  <si>
    <t>670135/002</t>
  </si>
  <si>
    <t>670135/004</t>
  </si>
  <si>
    <t>670135/005</t>
  </si>
  <si>
    <t>670135/006</t>
  </si>
  <si>
    <t>670135/009</t>
  </si>
  <si>
    <t>670135/010</t>
  </si>
  <si>
    <t>670135/012</t>
  </si>
  <si>
    <t>670135/014</t>
  </si>
  <si>
    <t>670135/017</t>
  </si>
  <si>
    <t>670135/020</t>
  </si>
  <si>
    <t>670135/022</t>
  </si>
  <si>
    <t>670135/024</t>
  </si>
  <si>
    <t>670135/027</t>
  </si>
  <si>
    <t>670135/030</t>
  </si>
  <si>
    <t>670135/031</t>
  </si>
  <si>
    <t>670135/032</t>
  </si>
  <si>
    <t>670135/033</t>
  </si>
  <si>
    <t>670135/037</t>
  </si>
  <si>
    <t>670135/038</t>
  </si>
  <si>
    <t>670135/039</t>
  </si>
  <si>
    <t>670135/042</t>
  </si>
  <si>
    <t>670135/053</t>
  </si>
  <si>
    <t>670135/054</t>
  </si>
  <si>
    <t>670135/055</t>
  </si>
  <si>
    <t>670135/057</t>
  </si>
  <si>
    <t>670135/058</t>
  </si>
  <si>
    <t>670135/059</t>
  </si>
  <si>
    <t>670135/060</t>
  </si>
  <si>
    <t>670135/062</t>
  </si>
  <si>
    <t>670135/063</t>
  </si>
  <si>
    <t>670135/066</t>
  </si>
  <si>
    <t>670135/071</t>
  </si>
  <si>
    <t>670135/075</t>
  </si>
  <si>
    <t>670135/076</t>
  </si>
  <si>
    <t>670135/081</t>
  </si>
  <si>
    <t>670135/082</t>
  </si>
  <si>
    <t>670135/083</t>
  </si>
  <si>
    <t>670135/084</t>
  </si>
  <si>
    <t>670135/085</t>
  </si>
  <si>
    <t>TABITHA GIFT GYAGENDA</t>
  </si>
  <si>
    <t>670135/087</t>
  </si>
  <si>
    <t>SSEKATAWA KEVIN</t>
  </si>
  <si>
    <t>IV</t>
  </si>
  <si>
    <t>PRIMARY SEVEN ASSESSMENT SHEETS 2025 SET 14 HILL SIDE</t>
  </si>
  <si>
    <t xml:space="preserve">PRIMARY SIX DISTINCT MID TERM ASSESSMENT SHEET                           TERM III 2025  </t>
  </si>
  <si>
    <t>BABIRYE MARY</t>
  </si>
  <si>
    <t>KALYANGO ABDUL</t>
  </si>
  <si>
    <t>KAMOGA ROBERT</t>
  </si>
  <si>
    <t>KASUMBA MUHAMMED</t>
  </si>
  <si>
    <t>KATO CALTON</t>
  </si>
  <si>
    <t>KATO DEOGRATIAS</t>
  </si>
  <si>
    <t>KAYEMBA ELVIN</t>
  </si>
  <si>
    <t>KIMERA ANOLD</t>
  </si>
  <si>
    <t>KIWALABYE DAVID</t>
  </si>
  <si>
    <t>KIYAGA MORRIS</t>
  </si>
  <si>
    <t>KIYIMBA JONA</t>
  </si>
  <si>
    <t>LUBEGA LABAN</t>
  </si>
  <si>
    <t>MATSIKO SHARALE</t>
  </si>
  <si>
    <t>MUKWAYA M</t>
  </si>
  <si>
    <t>MUGABE CHRISTIAN</t>
  </si>
  <si>
    <t>MUGEMESO IBRAHIM</t>
  </si>
  <si>
    <t>MUKISA SSEMUJJU</t>
  </si>
  <si>
    <t>MWEBAZA VICTORIA</t>
  </si>
  <si>
    <t>NABAGGALA RACHEAL</t>
  </si>
  <si>
    <t>NABISENKE JOAN</t>
  </si>
  <si>
    <t>NAKAMANJE PERUTH</t>
  </si>
  <si>
    <t>NAKAWOOYA SOPHIA</t>
  </si>
  <si>
    <t>NAKINTU ASIIMWE PATRICIA</t>
  </si>
  <si>
    <t>NAKIRANDA ABRIL</t>
  </si>
  <si>
    <t>NAKITENDE ABIGAIL</t>
  </si>
  <si>
    <t>NAMBOOZE RITAH</t>
  </si>
  <si>
    <t>NAMUGGA MERCY</t>
  </si>
  <si>
    <t>NAMWANJE PREAM</t>
  </si>
  <si>
    <t>NASSOZI BUSHIRAH</t>
  </si>
  <si>
    <t>NDUGGA JONATHAN</t>
  </si>
  <si>
    <t>NYANGOMA MARY</t>
  </si>
  <si>
    <t>SSEBAGGALA JOHN</t>
  </si>
  <si>
    <t>SSEMAKULA MICHEAL</t>
  </si>
  <si>
    <t>SSEMUJJU UTHMAN</t>
  </si>
  <si>
    <t>SSEMUYABA MARK</t>
  </si>
  <si>
    <t>SSOZI JOSEPH</t>
  </si>
  <si>
    <t>SUUNA FRANCIS</t>
  </si>
  <si>
    <t>WOKULIRA EDWARD</t>
  </si>
  <si>
    <t>ZZIWA JORAM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</si>
</sst>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6"/>
      <color rgb="FF000000"/>
      <name val="Times New Roman"/>
      <family val="1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dobe Devanagari"/>
      <family val="1"/>
    </font>
    <font>
      <b/>
      <sz val="12"/>
      <color rgb="FF000000"/>
      <name val="Adobe Devanagari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Fill="1" applyBorder="1"/>
    <xf numFmtId="0" fontId="4" fillId="0" borderId="1" xfId="0" applyFont="1" applyFill="1" applyBorder="1"/>
    <xf numFmtId="0" fontId="3" fillId="0" borderId="1" xfId="0" applyFont="1" applyFill="1" applyBorder="1" applyAlignment="1">
      <alignment horizontal="left" vertical="top"/>
    </xf>
    <xf numFmtId="0" fontId="2" fillId="0" borderId="1" xfId="0" applyFont="1" applyFill="1" applyBorder="1"/>
    <xf numFmtId="0" fontId="5" fillId="0" borderId="1" xfId="0" applyFont="1" applyBorder="1"/>
    <xf numFmtId="0" fontId="0" fillId="0" borderId="1" xfId="0" applyFill="1" applyBorder="1"/>
    <xf numFmtId="0" fontId="6" fillId="0" borderId="1" xfId="0" applyFont="1" applyFill="1" applyBorder="1"/>
    <xf numFmtId="0" fontId="2" fillId="0" borderId="1" xfId="0" applyFont="1" applyFill="1" applyBorder="1" applyProtection="1">
      <protection locked="0"/>
    </xf>
    <xf numFmtId="0" fontId="3" fillId="0" borderId="4" xfId="0" applyFont="1" applyFill="1" applyBorder="1" applyAlignment="1">
      <alignment horizontal="left" vertical="top"/>
    </xf>
    <xf numFmtId="0" fontId="6" fillId="0" borderId="0" xfId="0" applyFont="1" applyFill="1" applyBorder="1" applyAlignment="1"/>
    <xf numFmtId="0" fontId="2" fillId="0" borderId="6" xfId="0" applyFont="1" applyFill="1" applyBorder="1"/>
    <xf numFmtId="0" fontId="2" fillId="0" borderId="5" xfId="0" applyFont="1" applyFill="1" applyBorder="1"/>
    <xf numFmtId="0" fontId="0" fillId="0" borderId="1" xfId="0" applyFont="1" applyFill="1" applyBorder="1"/>
    <xf numFmtId="0" fontId="0" fillId="0" borderId="8" xfId="0" applyFont="1" applyFill="1" applyBorder="1"/>
    <xf numFmtId="0" fontId="6" fillId="0" borderId="0" xfId="0" applyFont="1" applyFill="1" applyBorder="1"/>
    <xf numFmtId="0" fontId="1" fillId="0" borderId="1" xfId="0" applyFont="1" applyFill="1" applyBorder="1" applyAlignment="1" applyProtection="1">
      <alignment wrapText="1"/>
      <protection locked="0"/>
    </xf>
    <xf numFmtId="0" fontId="0" fillId="0" borderId="3" xfId="0" applyFill="1" applyBorder="1"/>
    <xf numFmtId="0" fontId="0" fillId="0" borderId="9" xfId="0" applyFont="1" applyFill="1" applyBorder="1"/>
    <xf numFmtId="0" fontId="0" fillId="0" borderId="3" xfId="0" applyFont="1" applyFill="1" applyBorder="1"/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2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1" fillId="0" borderId="1" xfId="0" applyFont="1" applyFill="1" applyBorder="1" applyAlignment="1" applyProtection="1">
      <alignment horizontal="center" wrapText="1"/>
      <protection locked="0"/>
    </xf>
    <xf numFmtId="0" fontId="1" fillId="0" borderId="2" xfId="0" applyFont="1" applyFill="1" applyBorder="1" applyAlignment="1" applyProtection="1">
      <alignment horizontal="center" wrapText="1"/>
      <protection locked="0"/>
    </xf>
    <xf numFmtId="0" fontId="1" fillId="0" borderId="7" xfId="0" applyFont="1" applyFill="1" applyBorder="1" applyAlignment="1" applyProtection="1">
      <alignment horizontal="center" wrapText="1"/>
      <protection locked="0"/>
    </xf>
    <xf numFmtId="0" fontId="1" fillId="0" borderId="3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abSelected="1" topLeftCell="A31" workbookViewId="0">
      <selection activeCell="P41" sqref="P41"/>
    </sheetView>
  </sheetViews>
  <sheetFormatPr defaultRowHeight="14.5" x14ac:dyDescent="0.35"/>
  <cols>
    <col min="1" max="1" width="5.08984375" customWidth="1"/>
    <col min="2" max="2" width="30.81640625" customWidth="1"/>
    <col min="3" max="3" width="4.81640625" customWidth="1"/>
    <col min="4" max="4" width="3.6328125" customWidth="1"/>
    <col min="5" max="5" width="5.81640625" bestFit="1" customWidth="1"/>
    <col min="6" max="6" width="5.26953125" bestFit="1" customWidth="1"/>
    <col min="7" max="7" width="4.7265625" customWidth="1"/>
    <col min="8" max="8" width="3.6328125" customWidth="1"/>
    <col min="9" max="9" width="4.453125" bestFit="1" customWidth="1"/>
    <col min="10" max="10" width="5.26953125" bestFit="1" customWidth="1"/>
    <col min="11" max="11" width="4.54296875" customWidth="1"/>
    <col min="12" max="12" width="4.26953125" bestFit="1" customWidth="1"/>
    <col min="13" max="13" width="6.26953125" customWidth="1"/>
  </cols>
  <sheetData>
    <row r="1" spans="1:17" ht="20" x14ac:dyDescent="0.4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4"/>
      <c r="N1" s="1"/>
      <c r="O1" s="1"/>
      <c r="P1" s="1"/>
      <c r="Q1" s="1"/>
    </row>
    <row r="2" spans="1:17" ht="51" customHeight="1" x14ac:dyDescent="0.4">
      <c r="A2" s="32" t="s">
        <v>118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17" t="s">
        <v>37</v>
      </c>
      <c r="O2" s="6"/>
      <c r="P2" s="26" t="s">
        <v>38</v>
      </c>
      <c r="Q2" s="26"/>
    </row>
    <row r="3" spans="1:17" ht="15.5" x14ac:dyDescent="0.3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 t="s">
        <v>2</v>
      </c>
      <c r="L3" s="27"/>
      <c r="M3" s="4"/>
      <c r="N3" s="17">
        <v>0</v>
      </c>
      <c r="O3" s="6">
        <v>9</v>
      </c>
      <c r="P3" s="6">
        <v>4</v>
      </c>
      <c r="Q3" s="6" t="s">
        <v>39</v>
      </c>
    </row>
    <row r="4" spans="1:17" ht="18.5" x14ac:dyDescent="0.45">
      <c r="A4" s="2" t="s">
        <v>3</v>
      </c>
      <c r="B4" s="2" t="s">
        <v>4</v>
      </c>
      <c r="C4" s="3" t="s">
        <v>5</v>
      </c>
      <c r="D4" s="3" t="s">
        <v>6</v>
      </c>
      <c r="E4" s="3" t="s">
        <v>7</v>
      </c>
      <c r="F4" s="3" t="s">
        <v>6</v>
      </c>
      <c r="G4" s="3" t="s">
        <v>8</v>
      </c>
      <c r="H4" s="3" t="s">
        <v>6</v>
      </c>
      <c r="I4" s="3" t="s">
        <v>9</v>
      </c>
      <c r="J4" s="3" t="s">
        <v>6</v>
      </c>
      <c r="K4" s="3" t="s">
        <v>6</v>
      </c>
      <c r="L4" s="3" t="s">
        <v>10</v>
      </c>
      <c r="M4" s="3" t="s">
        <v>59</v>
      </c>
      <c r="N4" s="17">
        <v>40</v>
      </c>
      <c r="O4" s="6">
        <v>8</v>
      </c>
      <c r="P4" s="6">
        <v>13</v>
      </c>
      <c r="Q4" s="6" t="s">
        <v>11</v>
      </c>
    </row>
    <row r="5" spans="1:17" ht="18.5" x14ac:dyDescent="0.65">
      <c r="A5" s="7">
        <v>1</v>
      </c>
      <c r="B5" s="20" t="s">
        <v>136</v>
      </c>
      <c r="C5" s="8">
        <v>97</v>
      </c>
      <c r="D5" s="7">
        <f>IF(C5="","",VLOOKUP(C5,$N$3:$O$11,2,TRUE))</f>
        <v>1</v>
      </c>
      <c r="E5" s="8">
        <v>95</v>
      </c>
      <c r="F5" s="7">
        <f>IF(E5="","",VLOOKUP(E5,$N$3:$O$11,2,TRUE))</f>
        <v>1</v>
      </c>
      <c r="G5" s="8">
        <v>97</v>
      </c>
      <c r="H5" s="7">
        <f>IF(G5="","",VLOOKUP(G5,$N$3:$O$11,2,TRUE))</f>
        <v>1</v>
      </c>
      <c r="I5" s="8">
        <v>99</v>
      </c>
      <c r="J5" s="7">
        <f>IF(I5="","",VLOOKUP(I5,$N$3:$O$11,2,TRUE))</f>
        <v>1</v>
      </c>
      <c r="K5" s="4">
        <f>IF(C5="","",IF(E5="","",IF(G5="","",IF(I5="","",SUM(D5,F5,H5,J5)))))</f>
        <v>4</v>
      </c>
      <c r="L5" s="4" t="str">
        <f>IF(K5="","",VLOOKUP(K5,$P$3:$Q$7,2,TRUE))</f>
        <v>I</v>
      </c>
      <c r="M5" s="4">
        <f>SUM(C5,E5,G5,I5)</f>
        <v>388</v>
      </c>
      <c r="N5" s="17">
        <v>45</v>
      </c>
      <c r="O5" s="6">
        <v>7</v>
      </c>
      <c r="P5" s="6">
        <v>25</v>
      </c>
      <c r="Q5" s="6" t="s">
        <v>40</v>
      </c>
    </row>
    <row r="6" spans="1:17" ht="18.5" x14ac:dyDescent="0.65">
      <c r="A6" s="7">
        <v>2</v>
      </c>
      <c r="B6" s="20" t="s">
        <v>155</v>
      </c>
      <c r="C6" s="8">
        <v>93</v>
      </c>
      <c r="D6" s="7">
        <f>IF(C6="","",VLOOKUP(C6,$N$3:$O$11,2,TRUE))</f>
        <v>1</v>
      </c>
      <c r="E6" s="8">
        <v>95</v>
      </c>
      <c r="F6" s="7">
        <f>IF(E6="","",VLOOKUP(E6,$N$3:$O$11,2,TRUE))</f>
        <v>1</v>
      </c>
      <c r="G6" s="8">
        <v>98</v>
      </c>
      <c r="H6" s="7">
        <f>IF(G6="","",VLOOKUP(G6,$N$3:$O$11,2,TRUE))</f>
        <v>1</v>
      </c>
      <c r="I6" s="8">
        <v>100</v>
      </c>
      <c r="J6" s="7">
        <f>IF(I6="","",VLOOKUP(I6,$N$3:$O$11,2,TRUE))</f>
        <v>1</v>
      </c>
      <c r="K6" s="4">
        <f>IF(C6="","",IF(E6="","",IF(G6="","",IF(I6="","",SUM(D6,F6,H6,J6)))))</f>
        <v>4</v>
      </c>
      <c r="L6" s="4" t="str">
        <f>IF(K6="","",VLOOKUP(K6,$P$3:$Q$7,2,TRUE))</f>
        <v>I</v>
      </c>
      <c r="M6" s="4">
        <f>SUM(C6,E6,G6,I6)</f>
        <v>386</v>
      </c>
      <c r="N6" s="17">
        <v>50</v>
      </c>
      <c r="O6" s="6">
        <v>6</v>
      </c>
      <c r="P6" s="6">
        <v>29</v>
      </c>
      <c r="Q6" s="6" t="s">
        <v>116</v>
      </c>
    </row>
    <row r="7" spans="1:17" ht="18.5" x14ac:dyDescent="0.65">
      <c r="A7" s="7">
        <v>3</v>
      </c>
      <c r="B7" s="20" t="s">
        <v>151</v>
      </c>
      <c r="C7" s="8">
        <v>94</v>
      </c>
      <c r="D7" s="7">
        <f>IF(C7="","",VLOOKUP(C7,$N$3:$O$11,2,TRUE))</f>
        <v>1</v>
      </c>
      <c r="E7" s="8">
        <v>96</v>
      </c>
      <c r="F7" s="7">
        <f>IF(E7="","",VLOOKUP(E7,$N$3:$O$11,2,TRUE))</f>
        <v>1</v>
      </c>
      <c r="G7" s="8">
        <v>93</v>
      </c>
      <c r="H7" s="7">
        <f>IF(G7="","",VLOOKUP(G7,$N$3:$O$11,2,TRUE))</f>
        <v>1</v>
      </c>
      <c r="I7" s="8">
        <v>98</v>
      </c>
      <c r="J7" s="7">
        <f>IF(I7="","",VLOOKUP(I7,$N$3:$O$11,2,TRUE))</f>
        <v>1</v>
      </c>
      <c r="K7" s="4">
        <f>IF(C7="","",IF(E7="","",IF(G7="","",IF(I7="","",SUM(D7,F7,H7,J7)))))</f>
        <v>4</v>
      </c>
      <c r="L7" s="4" t="str">
        <f>IF(K7="","",VLOOKUP(K7,$P$3:$Q$7,2,TRUE))</f>
        <v>I</v>
      </c>
      <c r="M7" s="4">
        <f>SUM(C7,E7,G7,I7)</f>
        <v>381</v>
      </c>
      <c r="N7" s="17">
        <v>55</v>
      </c>
      <c r="O7" s="6">
        <v>5</v>
      </c>
      <c r="P7" s="13">
        <v>33</v>
      </c>
      <c r="Q7" s="13" t="s">
        <v>41</v>
      </c>
    </row>
    <row r="8" spans="1:17" ht="18.5" x14ac:dyDescent="0.65">
      <c r="A8" s="7">
        <v>4</v>
      </c>
      <c r="B8" s="20" t="s">
        <v>156</v>
      </c>
      <c r="C8" s="8">
        <v>90</v>
      </c>
      <c r="D8" s="7">
        <f>IF(C8="","",VLOOKUP(C8,$N$3:$O$11,2,TRUE))</f>
        <v>1</v>
      </c>
      <c r="E8" s="8">
        <v>90</v>
      </c>
      <c r="F8" s="7">
        <f>IF(E8="","",VLOOKUP(E8,$N$3:$O$11,2,TRUE))</f>
        <v>1</v>
      </c>
      <c r="G8" s="8">
        <v>96</v>
      </c>
      <c r="H8" s="7">
        <f>IF(G8="","",VLOOKUP(G8,$N$3:$O$11,2,TRUE))</f>
        <v>1</v>
      </c>
      <c r="I8" s="8">
        <v>98</v>
      </c>
      <c r="J8" s="7">
        <f>IF(I8="","",VLOOKUP(I8,$N$3:$O$11,2,TRUE))</f>
        <v>1</v>
      </c>
      <c r="K8" s="4">
        <f>IF(C8="","",IF(E8="","",IF(G8="","",IF(I8="","",SUM(D8,F8,H8,J8)))))</f>
        <v>4</v>
      </c>
      <c r="L8" s="4" t="str">
        <f>IF(K8="","",VLOOKUP(K8,$P$3:$Q$7,2,TRUE))</f>
        <v>I</v>
      </c>
      <c r="M8" s="4">
        <f>SUM(C8,E8,G8,I8)</f>
        <v>374</v>
      </c>
      <c r="N8" s="18">
        <v>60</v>
      </c>
      <c r="O8" s="14">
        <v>4</v>
      </c>
      <c r="P8" s="1"/>
      <c r="Q8" s="1"/>
    </row>
    <row r="9" spans="1:17" ht="18.5" x14ac:dyDescent="0.65">
      <c r="A9" s="7">
        <v>5</v>
      </c>
      <c r="B9" s="20" t="s">
        <v>127</v>
      </c>
      <c r="C9" s="8">
        <v>88</v>
      </c>
      <c r="D9" s="7">
        <f>IF(C9="","",VLOOKUP(C9,$N$3:$O$11,2,TRUE))</f>
        <v>2</v>
      </c>
      <c r="E9" s="8">
        <v>92</v>
      </c>
      <c r="F9" s="7">
        <f>IF(E9="","",VLOOKUP(E9,$N$3:$O$11,2,TRUE))</f>
        <v>1</v>
      </c>
      <c r="G9" s="8">
        <v>98</v>
      </c>
      <c r="H9" s="7">
        <f>IF(G9="","",VLOOKUP(G9,$N$3:$O$11,2,TRUE))</f>
        <v>1</v>
      </c>
      <c r="I9" s="8">
        <v>97</v>
      </c>
      <c r="J9" s="7">
        <f>IF(I9="","",VLOOKUP(I9,$N$3:$O$11,2,TRUE))</f>
        <v>1</v>
      </c>
      <c r="K9" s="4">
        <f>IF(C9="","",IF(E9="","",IF(G9="","",IF(I9="","",SUM(D9,F9,H9,J9)))))</f>
        <v>5</v>
      </c>
      <c r="L9" s="4" t="str">
        <f>IF(K9="","",VLOOKUP(K9,$P$3:$Q$7,2,TRUE))</f>
        <v>I</v>
      </c>
      <c r="M9" s="4">
        <f>SUM(C9,E9,G9,I9)</f>
        <v>375</v>
      </c>
      <c r="N9" s="19">
        <v>70</v>
      </c>
      <c r="O9" s="13">
        <v>3</v>
      </c>
      <c r="P9" s="1"/>
      <c r="Q9" s="1"/>
    </row>
    <row r="10" spans="1:17" ht="18.5" x14ac:dyDescent="0.65">
      <c r="A10" s="7">
        <v>6</v>
      </c>
      <c r="B10" s="20" t="s">
        <v>124</v>
      </c>
      <c r="C10" s="8">
        <v>96</v>
      </c>
      <c r="D10" s="7">
        <f>IF(C10="","",VLOOKUP(C10,$N$3:$O$11,2,TRUE))</f>
        <v>1</v>
      </c>
      <c r="E10" s="8">
        <v>89</v>
      </c>
      <c r="F10" s="7">
        <f>IF(E10="","",VLOOKUP(E10,$N$3:$O$11,2,TRUE))</f>
        <v>2</v>
      </c>
      <c r="G10" s="8">
        <v>92</v>
      </c>
      <c r="H10" s="7">
        <f>IF(G10="","",VLOOKUP(G10,$N$3:$O$11,2,TRUE))</f>
        <v>1</v>
      </c>
      <c r="I10" s="8">
        <v>97</v>
      </c>
      <c r="J10" s="7">
        <f>IF(I10="","",VLOOKUP(I10,$N$3:$O$11,2,TRUE))</f>
        <v>1</v>
      </c>
      <c r="K10" s="4">
        <f>IF(C10="","",IF(E10="","",IF(G10="","",IF(I10="","",SUM(D10,F10,H10,J10)))))</f>
        <v>5</v>
      </c>
      <c r="L10" s="4" t="str">
        <f>IF(K10="","",VLOOKUP(K10,$P$3:$Q$7,2,TRUE))</f>
        <v>I</v>
      </c>
      <c r="M10" s="4">
        <f>SUM(C10,E10,G10,I10)</f>
        <v>374</v>
      </c>
      <c r="N10" s="19">
        <v>80</v>
      </c>
      <c r="O10" s="13">
        <v>2</v>
      </c>
      <c r="P10" s="1"/>
      <c r="Q10" s="1"/>
    </row>
    <row r="11" spans="1:17" ht="18.5" x14ac:dyDescent="0.65">
      <c r="A11" s="7">
        <v>7</v>
      </c>
      <c r="B11" s="20" t="s">
        <v>128</v>
      </c>
      <c r="C11" s="8">
        <v>94</v>
      </c>
      <c r="D11" s="7">
        <f>IF(C11="","",VLOOKUP(C11,$N$3:$O$11,2,TRUE))</f>
        <v>1</v>
      </c>
      <c r="E11" s="8">
        <v>85</v>
      </c>
      <c r="F11" s="7">
        <f>IF(E11="","",VLOOKUP(E11,$N$3:$O$11,2,TRUE))</f>
        <v>2</v>
      </c>
      <c r="G11" s="8">
        <v>98</v>
      </c>
      <c r="H11" s="7">
        <f>IF(G11="","",VLOOKUP(G11,$N$3:$O$11,2,TRUE))</f>
        <v>1</v>
      </c>
      <c r="I11" s="8">
        <v>97</v>
      </c>
      <c r="J11" s="7">
        <f>IF(I11="","",VLOOKUP(I11,$N$3:$O$11,2,TRUE))</f>
        <v>1</v>
      </c>
      <c r="K11" s="4">
        <f>IF(C11="","",IF(E11="","",IF(G11="","",IF(I11="","",SUM(D11,F11,H11,J11)))))</f>
        <v>5</v>
      </c>
      <c r="L11" s="4" t="str">
        <f>IF(K11="","",VLOOKUP(K11,$P$3:$Q$7,2,TRUE))</f>
        <v>I</v>
      </c>
      <c r="M11" s="4">
        <f>SUM(C11,E11,G11,I11)</f>
        <v>374</v>
      </c>
      <c r="N11" s="19">
        <v>90</v>
      </c>
      <c r="O11" s="13">
        <v>1</v>
      </c>
      <c r="P11" s="1"/>
      <c r="Q11" s="1"/>
    </row>
    <row r="12" spans="1:17" ht="18.5" x14ac:dyDescent="0.65">
      <c r="A12" s="7">
        <v>8</v>
      </c>
      <c r="B12" s="20" t="s">
        <v>133</v>
      </c>
      <c r="C12" s="8">
        <v>84</v>
      </c>
      <c r="D12" s="7">
        <f>IF(C12="","",VLOOKUP(C12,$N$3:$O$11,2,TRUE))</f>
        <v>2</v>
      </c>
      <c r="E12" s="8">
        <v>96</v>
      </c>
      <c r="F12" s="7">
        <f>IF(E12="","",VLOOKUP(E12,$N$3:$O$11,2,TRUE))</f>
        <v>1</v>
      </c>
      <c r="G12" s="8">
        <v>95</v>
      </c>
      <c r="H12" s="7">
        <f>IF(G12="","",VLOOKUP(G12,$N$3:$O$11,2,TRUE))</f>
        <v>1</v>
      </c>
      <c r="I12" s="8">
        <v>99</v>
      </c>
      <c r="J12" s="7">
        <f>IF(I12="","",VLOOKUP(I12,$N$3:$O$11,2,TRUE))</f>
        <v>1</v>
      </c>
      <c r="K12" s="4">
        <f>IF(C12="","",IF(E12="","",IF(G12="","",IF(I12="","",SUM(D12,F12,H12,J12)))))</f>
        <v>5</v>
      </c>
      <c r="L12" s="4" t="str">
        <f>IF(K12="","",VLOOKUP(K12,$P$3:$Q$7,2,TRUE))</f>
        <v>I</v>
      </c>
      <c r="M12" s="4">
        <f>SUM(C12,E12,G12,I12)</f>
        <v>374</v>
      </c>
      <c r="N12" s="1"/>
      <c r="O12" s="1"/>
      <c r="P12" s="1"/>
      <c r="Q12" s="1"/>
    </row>
    <row r="13" spans="1:17" ht="18.5" x14ac:dyDescent="0.65">
      <c r="A13" s="7">
        <v>9</v>
      </c>
      <c r="B13" s="20" t="s">
        <v>135</v>
      </c>
      <c r="C13" s="8">
        <v>95</v>
      </c>
      <c r="D13" s="7">
        <f>IF(C13="","",VLOOKUP(C13,$N$3:$O$11,2,TRUE))</f>
        <v>1</v>
      </c>
      <c r="E13" s="8">
        <v>93</v>
      </c>
      <c r="F13" s="7">
        <f>IF(E13="","",VLOOKUP(E13,$N$3:$O$11,2,TRUE))</f>
        <v>1</v>
      </c>
      <c r="G13" s="8">
        <v>88</v>
      </c>
      <c r="H13" s="7">
        <f>IF(G13="","",VLOOKUP(G13,$N$3:$O$11,2,TRUE))</f>
        <v>2</v>
      </c>
      <c r="I13" s="8">
        <v>98</v>
      </c>
      <c r="J13" s="7">
        <f>IF(I13="","",VLOOKUP(I13,$N$3:$O$11,2,TRUE))</f>
        <v>1</v>
      </c>
      <c r="K13" s="4">
        <f>IF(C13="","",IF(E13="","",IF(G13="","",IF(I13="","",SUM(D13,F13,H13,J13)))))</f>
        <v>5</v>
      </c>
      <c r="L13" s="4" t="str">
        <f>IF(K13="","",VLOOKUP(K13,$P$3:$Q$7,2,TRUE))</f>
        <v>I</v>
      </c>
      <c r="M13" s="4">
        <f>SUM(C13,E13,G13,I13)</f>
        <v>374</v>
      </c>
      <c r="N13" s="1"/>
      <c r="O13" s="1"/>
      <c r="P13" s="1"/>
      <c r="Q13" s="1"/>
    </row>
    <row r="14" spans="1:17" ht="18.5" x14ac:dyDescent="0.65">
      <c r="A14" s="7">
        <v>10</v>
      </c>
      <c r="B14" s="20" t="s">
        <v>149</v>
      </c>
      <c r="C14" s="8">
        <v>93</v>
      </c>
      <c r="D14" s="7">
        <f>IF(C14="","",VLOOKUP(C14,$N$3:$O$11,2,TRUE))</f>
        <v>1</v>
      </c>
      <c r="E14" s="8">
        <v>84</v>
      </c>
      <c r="F14" s="7">
        <f>IF(E14="","",VLOOKUP(E14,$N$3:$O$11,2,TRUE))</f>
        <v>2</v>
      </c>
      <c r="G14" s="8">
        <v>99</v>
      </c>
      <c r="H14" s="7">
        <f>IF(G14="","",VLOOKUP(G14,$N$3:$O$11,2,TRUE))</f>
        <v>1</v>
      </c>
      <c r="I14" s="8">
        <v>98</v>
      </c>
      <c r="J14" s="7">
        <f>IF(I14="","",VLOOKUP(I14,$N$3:$O$11,2,TRUE))</f>
        <v>1</v>
      </c>
      <c r="K14" s="4">
        <f>IF(C14="","",IF(E14="","",IF(G14="","",IF(I14="","",SUM(D14,F14,H14,J14)))))</f>
        <v>5</v>
      </c>
      <c r="L14" s="4" t="str">
        <f>IF(K14="","",VLOOKUP(K14,$P$3:$Q$7,2,TRUE))</f>
        <v>I</v>
      </c>
      <c r="M14" s="4">
        <f>SUM(C14,E14,G14,I14)</f>
        <v>374</v>
      </c>
      <c r="N14" s="1"/>
      <c r="O14" s="1"/>
      <c r="P14" s="1"/>
      <c r="Q14" s="1"/>
    </row>
    <row r="15" spans="1:17" ht="18.5" x14ac:dyDescent="0.65">
      <c r="A15" s="7">
        <v>11</v>
      </c>
      <c r="B15" s="20" t="s">
        <v>157</v>
      </c>
      <c r="C15" s="8">
        <v>91</v>
      </c>
      <c r="D15" s="7">
        <f>IF(C15="","",VLOOKUP(C15,$N$3:$O$11,2,TRUE))</f>
        <v>1</v>
      </c>
      <c r="E15" s="8">
        <v>83</v>
      </c>
      <c r="F15" s="7">
        <f>IF(E15="","",VLOOKUP(E15,$N$3:$O$11,2,TRUE))</f>
        <v>2</v>
      </c>
      <c r="G15" s="8">
        <v>98</v>
      </c>
      <c r="H15" s="7">
        <f>IF(G15="","",VLOOKUP(G15,$N$3:$O$11,2,TRUE))</f>
        <v>1</v>
      </c>
      <c r="I15" s="8">
        <v>98</v>
      </c>
      <c r="J15" s="7">
        <f>IF(I15="","",VLOOKUP(I15,$N$3:$O$11,2,TRUE))</f>
        <v>1</v>
      </c>
      <c r="K15" s="4">
        <f>IF(C15="","",IF(E15="","",IF(G15="","",IF(I15="","",SUM(D15,F15,H15,J15)))))</f>
        <v>5</v>
      </c>
      <c r="L15" s="4" t="str">
        <f>IF(K15="","",VLOOKUP(K15,$P$3:$Q$7,2,TRUE))</f>
        <v>I</v>
      </c>
      <c r="M15" s="4">
        <f>SUM(C15,E15,G15,I15)</f>
        <v>370</v>
      </c>
      <c r="N15" s="1"/>
      <c r="O15" s="1"/>
      <c r="P15" s="1"/>
      <c r="Q15" s="1"/>
    </row>
    <row r="16" spans="1:17" ht="18.5" x14ac:dyDescent="0.65">
      <c r="A16" s="7">
        <v>12</v>
      </c>
      <c r="B16" s="20" t="s">
        <v>153</v>
      </c>
      <c r="C16" s="8">
        <v>92</v>
      </c>
      <c r="D16" s="7">
        <f>IF(C16="","",VLOOKUP(C16,$N$3:$O$11,2,TRUE))</f>
        <v>1</v>
      </c>
      <c r="E16" s="8">
        <v>80</v>
      </c>
      <c r="F16" s="7">
        <f>IF(E16="","",VLOOKUP(E16,$N$3:$O$11,2,TRUE))</f>
        <v>2</v>
      </c>
      <c r="G16" s="8">
        <v>96</v>
      </c>
      <c r="H16" s="7">
        <f>IF(G16="","",VLOOKUP(G16,$N$3:$O$11,2,TRUE))</f>
        <v>1</v>
      </c>
      <c r="I16" s="8">
        <v>99</v>
      </c>
      <c r="J16" s="7">
        <f>IF(I16="","",VLOOKUP(I16,$N$3:$O$11,2,TRUE))</f>
        <v>1</v>
      </c>
      <c r="K16" s="4">
        <f>IF(C16="","",IF(E16="","",IF(G16="","",IF(I16="","",SUM(D16,F16,H16,J16)))))</f>
        <v>5</v>
      </c>
      <c r="L16" s="4" t="str">
        <f>IF(K16="","",VLOOKUP(K16,$P$3:$Q$7,2,TRUE))</f>
        <v>I</v>
      </c>
      <c r="M16" s="4">
        <f>SUM(C16,E16,G16,I16)</f>
        <v>367</v>
      </c>
      <c r="N16" s="1"/>
      <c r="O16" s="1"/>
      <c r="P16" s="1"/>
      <c r="Q16" s="1"/>
    </row>
    <row r="17" spans="1:17" ht="18.5" x14ac:dyDescent="0.65">
      <c r="A17" s="7">
        <v>13</v>
      </c>
      <c r="B17" s="20" t="s">
        <v>125</v>
      </c>
      <c r="C17" s="8">
        <v>91</v>
      </c>
      <c r="D17" s="7">
        <f>IF(C17="","",VLOOKUP(C17,$N$3:$O$11,2,TRUE))</f>
        <v>1</v>
      </c>
      <c r="E17" s="8">
        <v>81</v>
      </c>
      <c r="F17" s="7">
        <f>IF(E17="","",VLOOKUP(E17,$N$3:$O$11,2,TRUE))</f>
        <v>2</v>
      </c>
      <c r="G17" s="8">
        <v>95</v>
      </c>
      <c r="H17" s="7">
        <f>IF(G17="","",VLOOKUP(G17,$N$3:$O$11,2,TRUE))</f>
        <v>1</v>
      </c>
      <c r="I17" s="8">
        <v>98</v>
      </c>
      <c r="J17" s="7">
        <f>IF(I17="","",VLOOKUP(I17,$N$3:$O$11,2,TRUE))</f>
        <v>1</v>
      </c>
      <c r="K17" s="4">
        <f>IF(C17="","",IF(E17="","",IF(G17="","",IF(I17="","",SUM(D17,F17,H17,J17)))))</f>
        <v>5</v>
      </c>
      <c r="L17" s="4" t="str">
        <f>IF(K17="","",VLOOKUP(K17,$P$3:$Q$7,2,TRUE))</f>
        <v>I</v>
      </c>
      <c r="M17" s="4">
        <f>SUM(C17,E17,G17,I17)</f>
        <v>365</v>
      </c>
      <c r="N17" s="1"/>
      <c r="O17" s="1"/>
      <c r="P17" s="1"/>
      <c r="Q17" s="1"/>
    </row>
    <row r="18" spans="1:17" ht="18.5" x14ac:dyDescent="0.65">
      <c r="A18" s="7">
        <v>14</v>
      </c>
      <c r="B18" s="20" t="s">
        <v>129</v>
      </c>
      <c r="C18" s="8">
        <v>95</v>
      </c>
      <c r="D18" s="7">
        <f>IF(C18="","",VLOOKUP(C18,$N$3:$O$11,2,TRUE))</f>
        <v>1</v>
      </c>
      <c r="E18" s="8">
        <v>80</v>
      </c>
      <c r="F18" s="7">
        <f>IF(E18="","",VLOOKUP(E18,$N$3:$O$11,2,TRUE))</f>
        <v>2</v>
      </c>
      <c r="G18" s="8">
        <v>90</v>
      </c>
      <c r="H18" s="7">
        <f>IF(G18="","",VLOOKUP(G18,$N$3:$O$11,2,TRUE))</f>
        <v>1</v>
      </c>
      <c r="I18" s="8">
        <v>97</v>
      </c>
      <c r="J18" s="7">
        <f>IF(I18="","",VLOOKUP(I18,$N$3:$O$11,2,TRUE))</f>
        <v>1</v>
      </c>
      <c r="K18" s="4">
        <f>IF(C18="","",IF(E18="","",IF(G18="","",IF(I18="","",SUM(D18,F18,H18,J18)))))</f>
        <v>5</v>
      </c>
      <c r="L18" s="4" t="str">
        <f>IF(K18="","",VLOOKUP(K18,$P$3:$Q$7,2,TRUE))</f>
        <v>I</v>
      </c>
      <c r="M18" s="4">
        <f>SUM(C18,E18,G18,I18)</f>
        <v>362</v>
      </c>
      <c r="N18" s="1"/>
      <c r="O18" s="1"/>
      <c r="P18" s="1"/>
      <c r="Q18" s="1"/>
    </row>
    <row r="19" spans="1:17" ht="18.5" x14ac:dyDescent="0.65">
      <c r="A19" s="7">
        <v>15</v>
      </c>
      <c r="B19" s="20" t="s">
        <v>140</v>
      </c>
      <c r="C19" s="8">
        <v>92</v>
      </c>
      <c r="D19" s="7">
        <f>IF(C19="","",VLOOKUP(C19,$N$3:$O$11,2,TRUE))</f>
        <v>1</v>
      </c>
      <c r="E19" s="8">
        <v>90</v>
      </c>
      <c r="F19" s="7">
        <f>IF(E19="","",VLOOKUP(E19,$N$3:$O$11,2,TRUE))</f>
        <v>1</v>
      </c>
      <c r="G19" s="8">
        <v>84</v>
      </c>
      <c r="H19" s="7">
        <f>IF(G19="","",VLOOKUP(G19,$N$3:$O$11,2,TRUE))</f>
        <v>2</v>
      </c>
      <c r="I19" s="8">
        <v>94</v>
      </c>
      <c r="J19" s="7">
        <f>IF(I19="","",VLOOKUP(I19,$N$3:$O$11,2,TRUE))</f>
        <v>1</v>
      </c>
      <c r="K19" s="4">
        <f>IF(C19="","",IF(E19="","",IF(G19="","",IF(I19="","",SUM(D19,F19,H19,J19)))))</f>
        <v>5</v>
      </c>
      <c r="L19" s="4" t="str">
        <f>IF(K19="","",VLOOKUP(K19,$P$3:$Q$7,2,TRUE))</f>
        <v>I</v>
      </c>
      <c r="M19" s="4">
        <f>SUM(C19,E19,G19,I19)</f>
        <v>360</v>
      </c>
      <c r="N19" s="1"/>
      <c r="O19" s="1"/>
      <c r="P19" s="1"/>
      <c r="Q19" s="1"/>
    </row>
    <row r="20" spans="1:17" ht="18.5" x14ac:dyDescent="0.65">
      <c r="A20" s="7">
        <v>16</v>
      </c>
      <c r="B20" s="20" t="s">
        <v>147</v>
      </c>
      <c r="C20" s="8">
        <v>93</v>
      </c>
      <c r="D20" s="7">
        <f>IF(C20="","",VLOOKUP(C20,$N$3:$O$11,2,TRUE))</f>
        <v>1</v>
      </c>
      <c r="E20" s="8">
        <v>79</v>
      </c>
      <c r="F20" s="7">
        <f>IF(E20="","",VLOOKUP(E20,$N$3:$O$11,2,TRUE))</f>
        <v>3</v>
      </c>
      <c r="G20" s="8">
        <v>96</v>
      </c>
      <c r="H20" s="7">
        <f>IF(G20="","",VLOOKUP(G20,$N$3:$O$11,2,TRUE))</f>
        <v>1</v>
      </c>
      <c r="I20" s="8">
        <v>99</v>
      </c>
      <c r="J20" s="7">
        <f>IF(I20="","",VLOOKUP(I20,$N$3:$O$11,2,TRUE))</f>
        <v>1</v>
      </c>
      <c r="K20" s="4">
        <f>IF(C20="","",IF(E20="","",IF(G20="","",IF(I20="","",SUM(D20,F20,H20,J20)))))</f>
        <v>6</v>
      </c>
      <c r="L20" s="4" t="str">
        <f>IF(K20="","",VLOOKUP(K20,$P$3:$Q$7,2,TRUE))</f>
        <v>I</v>
      </c>
      <c r="M20" s="4">
        <f>SUM(C20,E20,G20,I20)</f>
        <v>367</v>
      </c>
      <c r="N20" s="1"/>
      <c r="O20" s="1"/>
      <c r="P20" s="1"/>
      <c r="Q20" s="1"/>
    </row>
    <row r="21" spans="1:17" ht="18.5" x14ac:dyDescent="0.65">
      <c r="A21" s="7">
        <v>17</v>
      </c>
      <c r="B21" s="20" t="s">
        <v>152</v>
      </c>
      <c r="C21" s="8">
        <v>89</v>
      </c>
      <c r="D21" s="7">
        <f>IF(C21="","",VLOOKUP(C21,$N$3:$O$11,2,TRUE))</f>
        <v>2</v>
      </c>
      <c r="E21" s="8">
        <v>80</v>
      </c>
      <c r="F21" s="7">
        <f>IF(E21="","",VLOOKUP(E21,$N$3:$O$11,2,TRUE))</f>
        <v>2</v>
      </c>
      <c r="G21" s="8">
        <v>97</v>
      </c>
      <c r="H21" s="7">
        <f>IF(G21="","",VLOOKUP(G21,$N$3:$O$11,2,TRUE))</f>
        <v>1</v>
      </c>
      <c r="I21" s="8">
        <v>97</v>
      </c>
      <c r="J21" s="7">
        <f>IF(I21="","",VLOOKUP(I21,$N$3:$O$11,2,TRUE))</f>
        <v>1</v>
      </c>
      <c r="K21" s="4">
        <f>IF(C21="","",IF(E21="","",IF(G21="","",IF(I21="","",SUM(D21,F21,H21,J21)))))</f>
        <v>6</v>
      </c>
      <c r="L21" s="4" t="str">
        <f>IF(K21="","",VLOOKUP(K21,$P$3:$Q$7,2,TRUE))</f>
        <v>I</v>
      </c>
      <c r="M21" s="4">
        <f>SUM(C21,E21,G21,I21)</f>
        <v>363</v>
      </c>
      <c r="N21" s="1"/>
      <c r="O21" s="1"/>
      <c r="P21" s="1"/>
      <c r="Q21" s="1"/>
    </row>
    <row r="22" spans="1:17" ht="18.5" x14ac:dyDescent="0.65">
      <c r="A22" s="7">
        <v>18</v>
      </c>
      <c r="B22" s="20" t="s">
        <v>121</v>
      </c>
      <c r="C22" s="8">
        <v>93</v>
      </c>
      <c r="D22" s="7">
        <f>IF(C22="","",VLOOKUP(C22,$N$3:$O$11,2,TRUE))</f>
        <v>1</v>
      </c>
      <c r="E22" s="8">
        <v>79</v>
      </c>
      <c r="F22" s="7">
        <f>IF(E22="","",VLOOKUP(E22,$N$3:$O$11,2,TRUE))</f>
        <v>3</v>
      </c>
      <c r="G22" s="8">
        <v>92</v>
      </c>
      <c r="H22" s="7">
        <f>IF(G22="","",VLOOKUP(G22,$N$3:$O$11,2,TRUE))</f>
        <v>1</v>
      </c>
      <c r="I22" s="8">
        <v>98</v>
      </c>
      <c r="J22" s="7">
        <f>IF(I22="","",VLOOKUP(I22,$N$3:$O$11,2,TRUE))</f>
        <v>1</v>
      </c>
      <c r="K22" s="4">
        <f>IF(C22="","",IF(E22="","",IF(G22="","",IF(I22="","",SUM(D22,F22,H22,J22)))))</f>
        <v>6</v>
      </c>
      <c r="L22" s="4" t="str">
        <f>IF(K22="","",VLOOKUP(K22,$P$3:$Q$7,2,TRUE))</f>
        <v>I</v>
      </c>
      <c r="M22" s="4">
        <f>SUM(C22,E22,G22,I22)</f>
        <v>362</v>
      </c>
      <c r="N22" s="1"/>
      <c r="O22" s="1"/>
      <c r="P22" s="1"/>
      <c r="Q22" s="1"/>
    </row>
    <row r="23" spans="1:17" ht="18.5" x14ac:dyDescent="0.65">
      <c r="A23" s="7">
        <v>19</v>
      </c>
      <c r="B23" s="20" t="s">
        <v>142</v>
      </c>
      <c r="C23" s="8">
        <v>95</v>
      </c>
      <c r="D23" s="7">
        <f>IF(C23="","",VLOOKUP(C23,$N$3:$O$11,2,TRUE))</f>
        <v>1</v>
      </c>
      <c r="E23" s="8">
        <v>73</v>
      </c>
      <c r="F23" s="7">
        <f>IF(E23="","",VLOOKUP(E23,$N$3:$O$11,2,TRUE))</f>
        <v>3</v>
      </c>
      <c r="G23" s="8">
        <v>95</v>
      </c>
      <c r="H23" s="7">
        <f>IF(G23="","",VLOOKUP(G23,$N$3:$O$11,2,TRUE))</f>
        <v>1</v>
      </c>
      <c r="I23" s="8">
        <v>98</v>
      </c>
      <c r="J23" s="7">
        <f>IF(I23="","",VLOOKUP(I23,$N$3:$O$11,2,TRUE))</f>
        <v>1</v>
      </c>
      <c r="K23" s="4">
        <f>IF(C23="","",IF(E23="","",IF(G23="","",IF(I23="","",SUM(D23,F23,H23,J23)))))</f>
        <v>6</v>
      </c>
      <c r="L23" s="4" t="str">
        <f>IF(K23="","",VLOOKUP(K23,$P$3:$Q$7,2,TRUE))</f>
        <v>I</v>
      </c>
      <c r="M23" s="4">
        <f>SUM(C23,E23,G23,I23)</f>
        <v>361</v>
      </c>
      <c r="N23" s="1"/>
      <c r="O23" s="1"/>
      <c r="P23" s="1"/>
      <c r="Q23" s="1"/>
    </row>
    <row r="24" spans="1:17" ht="18.5" x14ac:dyDescent="0.65">
      <c r="A24" s="7">
        <v>20</v>
      </c>
      <c r="B24" s="20" t="s">
        <v>130</v>
      </c>
      <c r="C24" s="8">
        <v>87</v>
      </c>
      <c r="D24" s="7">
        <f>IF(C24="","",VLOOKUP(C24,$N$3:$O$11,2,TRUE))</f>
        <v>2</v>
      </c>
      <c r="E24" s="8">
        <v>81</v>
      </c>
      <c r="F24" s="7">
        <f>IF(E24="","",VLOOKUP(E24,$N$3:$O$11,2,TRUE))</f>
        <v>2</v>
      </c>
      <c r="G24" s="8">
        <v>97</v>
      </c>
      <c r="H24" s="7">
        <f>IF(G24="","",VLOOKUP(G24,$N$3:$O$11,2,TRUE))</f>
        <v>1</v>
      </c>
      <c r="I24" s="8">
        <v>95</v>
      </c>
      <c r="J24" s="7">
        <f>IF(I24="","",VLOOKUP(I24,$N$3:$O$11,2,TRUE))</f>
        <v>1</v>
      </c>
      <c r="K24" s="4">
        <f>IF(C24="","",IF(E24="","",IF(G24="","",IF(I24="","",SUM(D24,F24,H24,J24)))))</f>
        <v>6</v>
      </c>
      <c r="L24" s="4" t="str">
        <f>IF(K24="","",VLOOKUP(K24,$P$3:$Q$7,2,TRUE))</f>
        <v>I</v>
      </c>
      <c r="M24" s="4">
        <f>SUM(C24,E24,G24,I24)</f>
        <v>360</v>
      </c>
      <c r="N24" s="1"/>
      <c r="O24" s="1"/>
      <c r="P24" s="1"/>
      <c r="Q24" s="1"/>
    </row>
    <row r="25" spans="1:17" ht="18.5" x14ac:dyDescent="0.65">
      <c r="A25" s="7">
        <v>21</v>
      </c>
      <c r="B25" s="20" t="s">
        <v>154</v>
      </c>
      <c r="C25" s="8">
        <v>82</v>
      </c>
      <c r="D25" s="7">
        <f>IF(C25="","",VLOOKUP(C25,$N$3:$O$11,2,TRUE))</f>
        <v>2</v>
      </c>
      <c r="E25" s="8">
        <v>82</v>
      </c>
      <c r="F25" s="7">
        <f>IF(E25="","",VLOOKUP(E25,$N$3:$O$11,2,TRUE))</f>
        <v>2</v>
      </c>
      <c r="G25" s="8">
        <v>91</v>
      </c>
      <c r="H25" s="7">
        <f>IF(G25="","",VLOOKUP(G25,$N$3:$O$11,2,TRUE))</f>
        <v>1</v>
      </c>
      <c r="I25" s="8">
        <v>99</v>
      </c>
      <c r="J25" s="7">
        <f>IF(I25="","",VLOOKUP(I25,$N$3:$O$11,2,TRUE))</f>
        <v>1</v>
      </c>
      <c r="K25" s="4">
        <f>IF(C25="","",IF(E25="","",IF(G25="","",IF(I25="","",SUM(D25,F25,H25,J25)))))</f>
        <v>6</v>
      </c>
      <c r="L25" s="4" t="str">
        <f>IF(K25="","",VLOOKUP(K25,$P$3:$Q$7,2,TRUE))</f>
        <v>I</v>
      </c>
      <c r="M25" s="4">
        <f>SUM(C25,E25,G25,I25)</f>
        <v>354</v>
      </c>
      <c r="N25" s="1"/>
      <c r="O25" s="1"/>
      <c r="P25" s="1"/>
      <c r="Q25" s="1"/>
    </row>
    <row r="26" spans="1:17" ht="18.5" x14ac:dyDescent="0.65">
      <c r="A26" s="7">
        <v>22</v>
      </c>
      <c r="B26" s="20" t="s">
        <v>137</v>
      </c>
      <c r="C26" s="8">
        <v>96</v>
      </c>
      <c r="D26" s="7">
        <f>IF(C26="","",VLOOKUP(C26,$N$3:$O$11,2,TRUE))</f>
        <v>1</v>
      </c>
      <c r="E26" s="8">
        <v>61</v>
      </c>
      <c r="F26" s="7">
        <f>IF(E26="","",VLOOKUP(E26,$N$3:$O$11,2,TRUE))</f>
        <v>4</v>
      </c>
      <c r="G26" s="8">
        <v>99</v>
      </c>
      <c r="H26" s="7">
        <f>IF(G26="","",VLOOKUP(G26,$N$3:$O$11,2,TRUE))</f>
        <v>1</v>
      </c>
      <c r="I26" s="8">
        <v>98</v>
      </c>
      <c r="J26" s="7">
        <f>IF(I26="","",VLOOKUP(I26,$N$3:$O$11,2,TRUE))</f>
        <v>1</v>
      </c>
      <c r="K26" s="4">
        <f>IF(C26="","",IF(E26="","",IF(G26="","",IF(I26="","",SUM(D26,F26,H26,J26)))))</f>
        <v>7</v>
      </c>
      <c r="L26" s="4" t="str">
        <f>IF(K26="","",VLOOKUP(K26,$P$3:$Q$7,2,TRUE))</f>
        <v>I</v>
      </c>
      <c r="M26" s="4">
        <f>SUM(C26,E26,G26,I26)</f>
        <v>354</v>
      </c>
      <c r="N26" s="1"/>
      <c r="O26" s="1"/>
      <c r="P26" s="1"/>
      <c r="Q26" s="1"/>
    </row>
    <row r="27" spans="1:17" ht="18.5" x14ac:dyDescent="0.65">
      <c r="A27" s="7">
        <v>23</v>
      </c>
      <c r="B27" s="20" t="s">
        <v>120</v>
      </c>
      <c r="C27" s="8">
        <v>77</v>
      </c>
      <c r="D27" s="7">
        <f>IF(C27="","",VLOOKUP(C27,$N$3:$O$11,2,TRUE))</f>
        <v>3</v>
      </c>
      <c r="E27" s="8">
        <v>80</v>
      </c>
      <c r="F27" s="7">
        <f>IF(E27="","",VLOOKUP(E27,$N$3:$O$11,2,TRUE))</f>
        <v>2</v>
      </c>
      <c r="G27" s="8">
        <v>92</v>
      </c>
      <c r="H27" s="7">
        <f>IF(G27="","",VLOOKUP(G27,$N$3:$O$11,2,TRUE))</f>
        <v>1</v>
      </c>
      <c r="I27" s="8">
        <v>98</v>
      </c>
      <c r="J27" s="7">
        <f>IF(I27="","",VLOOKUP(I27,$N$3:$O$11,2,TRUE))</f>
        <v>1</v>
      </c>
      <c r="K27" s="4">
        <f>IF(C27="","",IF(E27="","",IF(G27="","",IF(I27="","",SUM(D27,F27,H27,J27)))))</f>
        <v>7</v>
      </c>
      <c r="L27" s="4" t="str">
        <f>IF(K27="","",VLOOKUP(K27,$P$3:$Q$7,2,TRUE))</f>
        <v>I</v>
      </c>
      <c r="M27" s="4">
        <f>SUM(C27,E27,G27,I27)</f>
        <v>347</v>
      </c>
      <c r="N27" s="1"/>
      <c r="O27" s="1"/>
      <c r="P27" s="1"/>
      <c r="Q27" s="1"/>
    </row>
    <row r="28" spans="1:17" ht="18.5" x14ac:dyDescent="0.65">
      <c r="A28" s="7">
        <v>24</v>
      </c>
      <c r="B28" s="20" t="s">
        <v>139</v>
      </c>
      <c r="C28" s="8">
        <v>87</v>
      </c>
      <c r="D28" s="7">
        <f>IF(C28="","",VLOOKUP(C28,$N$3:$O$11,2,TRUE))</f>
        <v>2</v>
      </c>
      <c r="E28" s="8">
        <v>71</v>
      </c>
      <c r="F28" s="7">
        <f>IF(E28="","",VLOOKUP(E28,$N$3:$O$11,2,TRUE))</f>
        <v>3</v>
      </c>
      <c r="G28" s="8">
        <v>91</v>
      </c>
      <c r="H28" s="7">
        <f>IF(G28="","",VLOOKUP(G28,$N$3:$O$11,2,TRUE))</f>
        <v>1</v>
      </c>
      <c r="I28" s="8">
        <v>98</v>
      </c>
      <c r="J28" s="7">
        <f>IF(I28="","",VLOOKUP(I28,$N$3:$O$11,2,TRUE))</f>
        <v>1</v>
      </c>
      <c r="K28" s="4">
        <f>IF(C28="","",IF(E28="","",IF(G28="","",IF(I28="","",SUM(D28,F28,H28,J28)))))</f>
        <v>7</v>
      </c>
      <c r="L28" s="4" t="str">
        <f>IF(K28="","",VLOOKUP(K28,$P$3:$Q$7,2,TRUE))</f>
        <v>I</v>
      </c>
      <c r="M28" s="4">
        <f>SUM(C28,E28,G28,I28)</f>
        <v>347</v>
      </c>
      <c r="N28" s="1"/>
      <c r="O28" s="1"/>
      <c r="P28" s="1"/>
      <c r="Q28" s="1"/>
    </row>
    <row r="29" spans="1:17" ht="18.5" x14ac:dyDescent="0.65">
      <c r="A29" s="7">
        <v>25</v>
      </c>
      <c r="B29" s="20" t="s">
        <v>122</v>
      </c>
      <c r="C29" s="8">
        <v>80</v>
      </c>
      <c r="D29" s="7">
        <f>IF(C29="","",VLOOKUP(C29,$N$3:$O$11,2,TRUE))</f>
        <v>2</v>
      </c>
      <c r="E29" s="8">
        <v>73</v>
      </c>
      <c r="F29" s="7">
        <f>IF(E29="","",VLOOKUP(E29,$N$3:$O$11,2,TRUE))</f>
        <v>3</v>
      </c>
      <c r="G29" s="8">
        <v>95</v>
      </c>
      <c r="H29" s="7">
        <f>IF(G29="","",VLOOKUP(G29,$N$3:$O$11,2,TRUE))</f>
        <v>1</v>
      </c>
      <c r="I29" s="8">
        <v>97</v>
      </c>
      <c r="J29" s="7">
        <f>IF(I29="","",VLOOKUP(I29,$N$3:$O$11,2,TRUE))</f>
        <v>1</v>
      </c>
      <c r="K29" s="4">
        <f>IF(C29="","",IF(E29="","",IF(G29="","",IF(I29="","",SUM(D29,F29,H29,J29)))))</f>
        <v>7</v>
      </c>
      <c r="L29" s="4" t="str">
        <f>IF(K29="","",VLOOKUP(K29,$P$3:$Q$7,2,TRUE))</f>
        <v>I</v>
      </c>
      <c r="M29" s="4">
        <f>SUM(C29,E29,G29,I29)</f>
        <v>345</v>
      </c>
      <c r="N29" s="1"/>
      <c r="O29" s="1"/>
      <c r="P29" s="1"/>
      <c r="Q29" s="1"/>
    </row>
    <row r="30" spans="1:17" ht="18.5" x14ac:dyDescent="0.65">
      <c r="A30" s="7">
        <v>26</v>
      </c>
      <c r="B30" s="20" t="s">
        <v>150</v>
      </c>
      <c r="C30" s="8">
        <v>91</v>
      </c>
      <c r="D30" s="7">
        <f>IF(C30="","",VLOOKUP(C30,$N$3:$O$11,2,TRUE))</f>
        <v>1</v>
      </c>
      <c r="E30" s="8">
        <v>61</v>
      </c>
      <c r="F30" s="7">
        <f>IF(E30="","",VLOOKUP(E30,$N$3:$O$11,2,TRUE))</f>
        <v>4</v>
      </c>
      <c r="G30" s="8">
        <v>90</v>
      </c>
      <c r="H30" s="7">
        <f>IF(G30="","",VLOOKUP(G30,$N$3:$O$11,2,TRUE))</f>
        <v>1</v>
      </c>
      <c r="I30" s="8">
        <v>99</v>
      </c>
      <c r="J30" s="7">
        <f>IF(I30="","",VLOOKUP(I30,$N$3:$O$11,2,TRUE))</f>
        <v>1</v>
      </c>
      <c r="K30" s="4">
        <f>IF(C30="","",IF(E30="","",IF(G30="","",IF(I30="","",SUM(D30,F30,H30,J30)))))</f>
        <v>7</v>
      </c>
      <c r="L30" s="4" t="str">
        <f>IF(K30="","",VLOOKUP(K30,$P$3:$Q$7,2,TRUE))</f>
        <v>I</v>
      </c>
      <c r="M30" s="4">
        <f>SUM(C30,E30,G30,I30)</f>
        <v>341</v>
      </c>
      <c r="N30" s="1"/>
      <c r="O30" s="1"/>
      <c r="P30" s="1"/>
      <c r="Q30" s="1"/>
    </row>
    <row r="31" spans="1:17" ht="18.5" x14ac:dyDescent="0.65">
      <c r="A31" s="7">
        <v>27</v>
      </c>
      <c r="B31" s="20" t="s">
        <v>145</v>
      </c>
      <c r="C31" s="8">
        <v>91</v>
      </c>
      <c r="D31" s="7">
        <f>IF(C31="","",VLOOKUP(C31,$N$3:$O$11,2,TRUE))</f>
        <v>1</v>
      </c>
      <c r="E31" s="8">
        <v>55</v>
      </c>
      <c r="F31" s="7">
        <f>IF(E31="","",VLOOKUP(E31,$N$3:$O$11,2,TRUE))</f>
        <v>5</v>
      </c>
      <c r="G31" s="8">
        <v>947</v>
      </c>
      <c r="H31" s="7">
        <f>IF(G31="","",VLOOKUP(G31,$N$3:$O$11,2,TRUE))</f>
        <v>1</v>
      </c>
      <c r="I31" s="8">
        <v>96</v>
      </c>
      <c r="J31" s="7">
        <f>IF(I31="","",VLOOKUP(I31,$N$3:$O$11,2,TRUE))</f>
        <v>1</v>
      </c>
      <c r="K31" s="4">
        <f>IF(C31="","",IF(E31="","",IF(G31="","",IF(I31="","",SUM(D31,F31,H31,J31)))))</f>
        <v>8</v>
      </c>
      <c r="L31" s="4" t="str">
        <f>IF(K31="","",VLOOKUP(K31,$P$3:$Q$7,2,TRUE))</f>
        <v>I</v>
      </c>
      <c r="M31" s="4">
        <f>SUM(C31,E31,G31,I31)</f>
        <v>1189</v>
      </c>
      <c r="N31" s="1"/>
      <c r="O31" s="1"/>
      <c r="P31" s="1"/>
      <c r="Q31" s="1"/>
    </row>
    <row r="32" spans="1:17" ht="18.5" x14ac:dyDescent="0.65">
      <c r="A32" s="7">
        <v>28</v>
      </c>
      <c r="B32" s="20" t="s">
        <v>132</v>
      </c>
      <c r="C32" s="8">
        <v>89</v>
      </c>
      <c r="D32" s="7">
        <f>IF(C32="","",VLOOKUP(C32,$N$3:$O$11,2,TRUE))</f>
        <v>2</v>
      </c>
      <c r="E32" s="8">
        <v>76</v>
      </c>
      <c r="F32" s="7">
        <f>IF(E32="","",VLOOKUP(E32,$N$3:$O$11,2,TRUE))</f>
        <v>3</v>
      </c>
      <c r="G32" s="8">
        <v>86</v>
      </c>
      <c r="H32" s="7">
        <f>IF(G32="","",VLOOKUP(G32,$N$3:$O$11,2,TRUE))</f>
        <v>2</v>
      </c>
      <c r="I32" s="8">
        <v>96</v>
      </c>
      <c r="J32" s="7">
        <f>IF(I32="","",VLOOKUP(I32,$N$3:$O$11,2,TRUE))</f>
        <v>1</v>
      </c>
      <c r="K32" s="4">
        <f>IF(C32="","",IF(E32="","",IF(G32="","",IF(I32="","",SUM(D32,F32,H32,J32)))))</f>
        <v>8</v>
      </c>
      <c r="L32" s="4" t="str">
        <f>IF(K32="","",VLOOKUP(K32,$P$3:$Q$7,2,TRUE))</f>
        <v>I</v>
      </c>
      <c r="M32" s="4">
        <f>SUM(C32,E32,G32,I32)</f>
        <v>347</v>
      </c>
      <c r="N32" s="1"/>
      <c r="O32" s="1"/>
      <c r="P32" s="1"/>
      <c r="Q32" s="1"/>
    </row>
    <row r="33" spans="1:17" ht="18.5" x14ac:dyDescent="0.65">
      <c r="A33" s="7">
        <v>29</v>
      </c>
      <c r="B33" s="20" t="s">
        <v>146</v>
      </c>
      <c r="C33" s="8">
        <v>77</v>
      </c>
      <c r="D33" s="7">
        <f>IF(C33="","",VLOOKUP(C33,$N$3:$O$11,2,TRUE))</f>
        <v>3</v>
      </c>
      <c r="E33" s="8">
        <v>76</v>
      </c>
      <c r="F33" s="7">
        <f>IF(E33="","",VLOOKUP(E33,$N$3:$O$11,2,TRUE))</f>
        <v>3</v>
      </c>
      <c r="G33" s="8">
        <v>86</v>
      </c>
      <c r="H33" s="7">
        <f>IF(G33="","",VLOOKUP(G33,$N$3:$O$11,2,TRUE))</f>
        <v>2</v>
      </c>
      <c r="I33" s="8">
        <v>98</v>
      </c>
      <c r="J33" s="7">
        <f>IF(I33="","",VLOOKUP(I33,$N$3:$O$11,2,TRUE))</f>
        <v>1</v>
      </c>
      <c r="K33" s="4">
        <f>IF(C33="","",IF(E33="","",IF(G33="","",IF(I33="","",SUM(D33,F33,H33,J33)))))</f>
        <v>9</v>
      </c>
      <c r="L33" s="4" t="str">
        <f>IF(K33="","",VLOOKUP(K33,$P$3:$Q$7,2,TRUE))</f>
        <v>I</v>
      </c>
      <c r="M33" s="4">
        <f>SUM(C33,E33,G33,I33)</f>
        <v>337</v>
      </c>
      <c r="N33" s="1"/>
      <c r="O33" s="1"/>
      <c r="P33" s="1"/>
      <c r="Q33" s="1"/>
    </row>
    <row r="34" spans="1:17" ht="18.5" x14ac:dyDescent="0.65">
      <c r="A34" s="7">
        <v>31</v>
      </c>
      <c r="B34" s="20" t="s">
        <v>119</v>
      </c>
      <c r="C34" s="8">
        <v>85</v>
      </c>
      <c r="D34" s="7">
        <f>IF(C34="","",VLOOKUP(C34,$N$3:$O$11,2,TRUE))</f>
        <v>2</v>
      </c>
      <c r="E34" s="8">
        <v>65</v>
      </c>
      <c r="F34" s="7">
        <f>IF(E34="","",VLOOKUP(E34,$N$3:$O$11,2,TRUE))</f>
        <v>4</v>
      </c>
      <c r="G34" s="8">
        <v>86</v>
      </c>
      <c r="H34" s="7">
        <f>IF(G34="","",VLOOKUP(G34,$N$3:$O$11,2,TRUE))</f>
        <v>2</v>
      </c>
      <c r="I34" s="8">
        <v>98</v>
      </c>
      <c r="J34" s="7">
        <f>IF(I34="","",VLOOKUP(I34,$N$3:$O$11,2,TRUE))</f>
        <v>1</v>
      </c>
      <c r="K34" s="4">
        <f>IF(C34="","",IF(E34="","",IF(G34="","",IF(I34="","",SUM(D34,F34,H34,J34)))))</f>
        <v>9</v>
      </c>
      <c r="L34" s="4" t="str">
        <f>IF(K34="","",VLOOKUP(K34,$P$3:$Q$7,2,TRUE))</f>
        <v>I</v>
      </c>
      <c r="M34" s="4">
        <f>SUM(C34,E34,G34,I34)</f>
        <v>334</v>
      </c>
      <c r="N34" s="1"/>
      <c r="O34" s="1"/>
      <c r="P34" s="1"/>
      <c r="Q34" s="1"/>
    </row>
    <row r="35" spans="1:17" ht="18.5" x14ac:dyDescent="0.65">
      <c r="A35" s="7">
        <v>32</v>
      </c>
      <c r="B35" s="20" t="s">
        <v>134</v>
      </c>
      <c r="C35" s="8">
        <v>74</v>
      </c>
      <c r="D35" s="7">
        <f>IF(C35="","",VLOOKUP(C35,$N$3:$O$11,2,TRUE))</f>
        <v>3</v>
      </c>
      <c r="E35" s="8">
        <v>70</v>
      </c>
      <c r="F35" s="7">
        <f>IF(E35="","",VLOOKUP(E35,$N$3:$O$11,2,TRUE))</f>
        <v>3</v>
      </c>
      <c r="G35" s="8">
        <v>85</v>
      </c>
      <c r="H35" s="7">
        <f>IF(G35="","",VLOOKUP(G35,$N$3:$O$11,2,TRUE))</f>
        <v>2</v>
      </c>
      <c r="I35" s="8">
        <v>96</v>
      </c>
      <c r="J35" s="7">
        <f>IF(I35="","",VLOOKUP(I35,$N$3:$O$11,2,TRUE))</f>
        <v>1</v>
      </c>
      <c r="K35" s="4">
        <f>IF(C35="","",IF(E35="","",IF(G35="","",IF(I35="","",SUM(D35,F35,H35,J35)))))</f>
        <v>9</v>
      </c>
      <c r="L35" s="4" t="str">
        <f>IF(K35="","",VLOOKUP(K35,$P$3:$Q$7,2,TRUE))</f>
        <v>I</v>
      </c>
      <c r="M35" s="4">
        <f>SUM(C35,E35,G35,I35)</f>
        <v>325</v>
      </c>
      <c r="N35" s="1"/>
      <c r="O35" s="1"/>
      <c r="P35" s="1"/>
      <c r="Q35" s="1"/>
    </row>
    <row r="36" spans="1:17" ht="18.5" x14ac:dyDescent="0.65">
      <c r="A36" s="7">
        <v>33</v>
      </c>
      <c r="B36" s="20" t="s">
        <v>126</v>
      </c>
      <c r="C36" s="8">
        <v>84</v>
      </c>
      <c r="D36" s="7">
        <f>IF(C36="","",VLOOKUP(C36,$N$3:$O$11,2,TRUE))</f>
        <v>2</v>
      </c>
      <c r="E36" s="8">
        <v>62</v>
      </c>
      <c r="F36" s="7">
        <f>IF(E36="","",VLOOKUP(E36,$N$3:$O$11,2,TRUE))</f>
        <v>4</v>
      </c>
      <c r="G36" s="8">
        <v>84</v>
      </c>
      <c r="H36" s="7">
        <f>IF(G36="","",VLOOKUP(G36,$N$3:$O$11,2,TRUE))</f>
        <v>2</v>
      </c>
      <c r="I36" s="8">
        <v>94</v>
      </c>
      <c r="J36" s="7">
        <f>IF(I36="","",VLOOKUP(I36,$N$3:$O$11,2,TRUE))</f>
        <v>1</v>
      </c>
      <c r="K36" s="4">
        <f>IF(C36="","",IF(E36="","",IF(G36="","",IF(I36="","",SUM(D36,F36,H36,J36)))))</f>
        <v>9</v>
      </c>
      <c r="L36" s="4" t="str">
        <f>IF(K36="","",VLOOKUP(K36,$P$3:$Q$7,2,TRUE))</f>
        <v>I</v>
      </c>
      <c r="M36" s="4">
        <f>SUM(C36,E36,G36,I36)</f>
        <v>324</v>
      </c>
      <c r="N36" s="1"/>
      <c r="O36" s="1"/>
      <c r="P36" s="1"/>
      <c r="Q36" s="1"/>
    </row>
    <row r="37" spans="1:17" ht="18.5" x14ac:dyDescent="0.65">
      <c r="A37" s="7">
        <v>34</v>
      </c>
      <c r="B37" s="20" t="s">
        <v>148</v>
      </c>
      <c r="C37" s="8">
        <v>84</v>
      </c>
      <c r="D37" s="7">
        <f>IF(C37="","",VLOOKUP(C37,$N$3:$O$11,2,TRUE))</f>
        <v>2</v>
      </c>
      <c r="E37" s="8">
        <v>65</v>
      </c>
      <c r="F37" s="7">
        <f>IF(E37="","",VLOOKUP(E37,$N$3:$O$11,2,TRUE))</f>
        <v>4</v>
      </c>
      <c r="G37" s="8">
        <v>76</v>
      </c>
      <c r="H37" s="7">
        <f>IF(G37="","",VLOOKUP(G37,$N$3:$O$11,2,TRUE))</f>
        <v>3</v>
      </c>
      <c r="I37" s="8">
        <v>98</v>
      </c>
      <c r="J37" s="7">
        <f>IF(I37="","",VLOOKUP(I37,$N$3:$O$11,2,TRUE))</f>
        <v>1</v>
      </c>
      <c r="K37" s="4">
        <f>IF(C37="","",IF(E37="","",IF(G37="","",IF(I37="","",SUM(D37,F37,H37,J37)))))</f>
        <v>10</v>
      </c>
      <c r="L37" s="4" t="str">
        <f>IF(K37="","",VLOOKUP(K37,$P$3:$Q$7,2,TRUE))</f>
        <v>I</v>
      </c>
      <c r="M37" s="4">
        <f>SUM(C37,E37,G37,I37)</f>
        <v>323</v>
      </c>
      <c r="N37" s="1"/>
      <c r="O37" s="1"/>
      <c r="P37" s="1"/>
      <c r="Q37" s="1"/>
    </row>
    <row r="38" spans="1:17" ht="18.5" x14ac:dyDescent="0.65">
      <c r="A38" s="7">
        <v>35</v>
      </c>
      <c r="B38" s="20" t="s">
        <v>141</v>
      </c>
      <c r="C38" s="8">
        <v>80</v>
      </c>
      <c r="D38" s="7">
        <f>IF(C38="","",VLOOKUP(C38,$N$3:$O$11,2,TRUE))</f>
        <v>2</v>
      </c>
      <c r="E38" s="8">
        <v>65</v>
      </c>
      <c r="F38" s="7">
        <f>IF(E38="","",VLOOKUP(E38,$N$3:$O$11,2,TRUE))</f>
        <v>4</v>
      </c>
      <c r="G38" s="8">
        <v>79</v>
      </c>
      <c r="H38" s="7">
        <f>IF(G38="","",VLOOKUP(G38,$N$3:$O$11,2,TRUE))</f>
        <v>3</v>
      </c>
      <c r="I38" s="8">
        <v>98</v>
      </c>
      <c r="J38" s="7">
        <f>IF(I38="","",VLOOKUP(I38,$N$3:$O$11,2,TRUE))</f>
        <v>1</v>
      </c>
      <c r="K38" s="4">
        <f>IF(C38="","",IF(E38="","",IF(G38="","",IF(I38="","",SUM(D38,F38,H38,J38)))))</f>
        <v>10</v>
      </c>
      <c r="L38" s="4" t="str">
        <f>IF(K38="","",VLOOKUP(K38,$P$3:$Q$7,2,TRUE))</f>
        <v>I</v>
      </c>
      <c r="M38" s="4">
        <f>SUM(C38,E38,G38,I38)</f>
        <v>322</v>
      </c>
      <c r="N38" s="1"/>
      <c r="O38" s="1"/>
      <c r="P38" s="1"/>
      <c r="Q38" s="1"/>
    </row>
    <row r="39" spans="1:17" ht="18.5" x14ac:dyDescent="0.65">
      <c r="A39" s="7">
        <v>36</v>
      </c>
      <c r="B39" s="20" t="s">
        <v>143</v>
      </c>
      <c r="C39" s="8">
        <v>87</v>
      </c>
      <c r="D39" s="7">
        <f>IF(C39="","",VLOOKUP(C39,$N$3:$O$11,2,TRUE))</f>
        <v>2</v>
      </c>
      <c r="E39" s="8">
        <v>60</v>
      </c>
      <c r="F39" s="7">
        <f>IF(E39="","",VLOOKUP(E39,$N$3:$O$11,2,TRUE))</f>
        <v>4</v>
      </c>
      <c r="G39" s="8">
        <v>77</v>
      </c>
      <c r="H39" s="7">
        <f>IF(G39="","",VLOOKUP(G39,$N$3:$O$11,2,TRUE))</f>
        <v>3</v>
      </c>
      <c r="I39" s="8">
        <v>98</v>
      </c>
      <c r="J39" s="7">
        <f>IF(I39="","",VLOOKUP(I39,$N$3:$O$11,2,TRUE))</f>
        <v>1</v>
      </c>
      <c r="K39" s="4">
        <f>IF(C39="","",IF(E39="","",IF(G39="","",IF(I39="","",SUM(D39,F39,H39,J39)))))</f>
        <v>10</v>
      </c>
      <c r="L39" s="4" t="str">
        <f>IF(K39="","",VLOOKUP(K39,$P$3:$Q$7,2,TRUE))</f>
        <v>I</v>
      </c>
      <c r="M39" s="4">
        <f>SUM(C39,E39,G39,I39)</f>
        <v>322</v>
      </c>
      <c r="N39" s="1"/>
      <c r="O39" s="1"/>
      <c r="P39" s="1"/>
      <c r="Q39" s="1"/>
    </row>
    <row r="40" spans="1:17" ht="18.5" x14ac:dyDescent="0.65">
      <c r="A40" s="7">
        <v>37</v>
      </c>
      <c r="B40" s="20" t="s">
        <v>131</v>
      </c>
      <c r="C40" s="8">
        <v>79</v>
      </c>
      <c r="D40" s="7">
        <f>IF(C40="","",VLOOKUP(C40,$N$3:$O$11,2,TRUE))</f>
        <v>3</v>
      </c>
      <c r="E40" s="8">
        <v>71</v>
      </c>
      <c r="F40" s="7">
        <f>IF(E40="","",VLOOKUP(E40,$N$3:$O$11,2,TRUE))</f>
        <v>3</v>
      </c>
      <c r="G40" s="8">
        <v>77</v>
      </c>
      <c r="H40" s="7">
        <f>IF(G40="","",VLOOKUP(G40,$N$3:$O$11,2,TRUE))</f>
        <v>3</v>
      </c>
      <c r="I40" s="8">
        <v>92</v>
      </c>
      <c r="J40" s="7">
        <f>IF(I40="","",VLOOKUP(I40,$N$3:$O$11,2,TRUE))</f>
        <v>1</v>
      </c>
      <c r="K40" s="4">
        <f>IF(C40="","",IF(E40="","",IF(G40="","",IF(I40="","",SUM(D40,F40,H40,J40)))))</f>
        <v>10</v>
      </c>
      <c r="L40" s="4" t="str">
        <f>IF(K40="","",VLOOKUP(K40,$P$3:$Q$7,2,TRUE))</f>
        <v>I</v>
      </c>
      <c r="M40" s="4">
        <f>SUM(C40,E40,G40,I40)</f>
        <v>319</v>
      </c>
      <c r="N40" s="1"/>
      <c r="O40" s="1"/>
      <c r="P40" s="1"/>
      <c r="Q40" s="1"/>
    </row>
    <row r="41" spans="1:17" ht="18.5" x14ac:dyDescent="0.65">
      <c r="A41" s="7">
        <v>38</v>
      </c>
      <c r="B41" s="20" t="s">
        <v>144</v>
      </c>
      <c r="C41" s="8">
        <v>88</v>
      </c>
      <c r="D41" s="7">
        <f>IF(C41="","",VLOOKUP(C41,$N$3:$O$11,2,TRUE))</f>
        <v>2</v>
      </c>
      <c r="E41" s="8">
        <v>42</v>
      </c>
      <c r="F41" s="7">
        <f>IF(E41="","",VLOOKUP(E41,$N$3:$O$11,2,TRUE))</f>
        <v>8</v>
      </c>
      <c r="G41" s="8">
        <v>91</v>
      </c>
      <c r="H41" s="7">
        <f>IF(G41="","",VLOOKUP(G41,$N$3:$O$11,2,TRUE))</f>
        <v>1</v>
      </c>
      <c r="I41" s="8">
        <v>97</v>
      </c>
      <c r="J41" s="7">
        <f>IF(I41="","",VLOOKUP(I41,$N$3:$O$11,2,TRUE))</f>
        <v>1</v>
      </c>
      <c r="K41" s="4">
        <f>IF(C41="","",IF(E41="","",IF(G41="","",IF(I41="","",SUM(D41,F41,H41,J41)))))</f>
        <v>12</v>
      </c>
      <c r="L41" s="4" t="str">
        <f>IF(K41="","",VLOOKUP(K41,$P$3:$Q$7,2,TRUE))</f>
        <v>I</v>
      </c>
      <c r="M41" s="4">
        <f>SUM(C41,E41,G41,I41)</f>
        <v>318</v>
      </c>
      <c r="N41" s="1"/>
      <c r="O41" s="1"/>
      <c r="P41" s="1"/>
      <c r="Q41" s="1"/>
    </row>
    <row r="42" spans="1:17" ht="18.5" x14ac:dyDescent="0.65">
      <c r="A42" s="7">
        <v>39</v>
      </c>
      <c r="B42" s="20" t="s">
        <v>138</v>
      </c>
      <c r="C42" s="8">
        <v>75</v>
      </c>
      <c r="D42" s="7">
        <f>IF(C42="","",VLOOKUP(C42,$N$3:$O$11,2,TRUE))</f>
        <v>3</v>
      </c>
      <c r="E42" s="8">
        <v>30</v>
      </c>
      <c r="F42" s="7">
        <f>IF(E42="","",VLOOKUP(E42,$N$3:$O$11,2,TRUE))</f>
        <v>9</v>
      </c>
      <c r="G42" s="8">
        <v>80</v>
      </c>
      <c r="H42" s="7">
        <f>IF(G42="","",VLOOKUP(G42,$N$3:$O$11,2,TRUE))</f>
        <v>2</v>
      </c>
      <c r="I42" s="8">
        <v>96</v>
      </c>
      <c r="J42" s="7">
        <f>IF(I42="","",VLOOKUP(I42,$N$3:$O$11,2,TRUE))</f>
        <v>1</v>
      </c>
      <c r="K42" s="4">
        <f>IF(C42="","",IF(E42="","",IF(G42="","",IF(I42="","",SUM(D42,F42,H42,J42)))))</f>
        <v>15</v>
      </c>
      <c r="L42" s="4" t="str">
        <f>IF(K42="","",VLOOKUP(K42,$P$3:$Q$7,2,TRUE))</f>
        <v>II</v>
      </c>
      <c r="M42" s="4">
        <f>SUM(C42,E42,G42,I42)</f>
        <v>281</v>
      </c>
      <c r="N42" s="1"/>
      <c r="O42" s="1"/>
      <c r="P42" s="1"/>
      <c r="Q42" s="1"/>
    </row>
    <row r="43" spans="1:17" ht="18.5" x14ac:dyDescent="0.65">
      <c r="A43" s="7">
        <v>40</v>
      </c>
      <c r="B43" s="20" t="s">
        <v>123</v>
      </c>
      <c r="C43" s="8">
        <v>71</v>
      </c>
      <c r="D43" s="7">
        <f>IF(C43="","",VLOOKUP(C43,$N$3:$O$11,2,TRUE))</f>
        <v>3</v>
      </c>
      <c r="E43" s="8">
        <v>20</v>
      </c>
      <c r="F43" s="7">
        <f>IF(E43="","",VLOOKUP(E43,$N$3:$O$11,2,TRUE))</f>
        <v>9</v>
      </c>
      <c r="G43" s="8">
        <v>67</v>
      </c>
      <c r="H43" s="7">
        <f>IF(G43="","",VLOOKUP(G43,$N$3:$O$11,2,TRUE))</f>
        <v>4</v>
      </c>
      <c r="I43" s="8">
        <v>80</v>
      </c>
      <c r="J43" s="7">
        <f>IF(I43="","",VLOOKUP(I43,$N$3:$O$11,2,TRUE))</f>
        <v>2</v>
      </c>
      <c r="K43" s="4">
        <f>IF(C43="","",IF(E43="","",IF(G43="","",IF(I43="","",SUM(D43,F43,H43,J43)))))</f>
        <v>18</v>
      </c>
      <c r="L43" s="4" t="str">
        <f>IF(K43="","",VLOOKUP(K43,$P$3:$Q$7,2,TRUE))</f>
        <v>II</v>
      </c>
      <c r="M43" s="4">
        <f>SUM(C43,E43,G43,I43)</f>
        <v>238</v>
      </c>
      <c r="N43" s="1"/>
      <c r="O43" s="1"/>
      <c r="P43" s="1"/>
      <c r="Q43" s="1"/>
    </row>
    <row r="44" spans="1:17" ht="18.5" x14ac:dyDescent="0.35">
      <c r="A44" s="7"/>
      <c r="B44" s="21"/>
      <c r="C44" s="8"/>
      <c r="D44" s="7" t="str">
        <f t="shared" ref="D35:D44" si="0">IF(C44="","",VLOOKUP(C44,$N$3:$O$11,2,TRUE))</f>
        <v/>
      </c>
      <c r="E44" s="8"/>
      <c r="F44" s="7" t="str">
        <f t="shared" ref="F35:F44" si="1">IF(E44="","",VLOOKUP(E44,$N$3:$O$11,2,TRUE))</f>
        <v/>
      </c>
      <c r="G44" s="8"/>
      <c r="H44" s="7" t="str">
        <f t="shared" ref="H35:H44" si="2">IF(G44="","",VLOOKUP(G44,$N$3:$O$11,2,TRUE))</f>
        <v/>
      </c>
      <c r="I44" s="8"/>
      <c r="J44" s="7" t="str">
        <f t="shared" ref="J35:J44" si="3">IF(I44="","",VLOOKUP(I44,$N$3:$O$11,2,TRUE))</f>
        <v/>
      </c>
      <c r="K44" s="4" t="str">
        <f t="shared" ref="K35:K44" si="4">IF(C44="","",IF(E44="","",IF(G44="","",IF(I44="","",SUM(D44,F44,H44,J44)))))</f>
        <v/>
      </c>
      <c r="L44" s="4" t="str">
        <f t="shared" ref="L35:L44" si="5">IF(K44="","",VLOOKUP(K44,$P$3:$Q$7,2,TRUE))</f>
        <v/>
      </c>
      <c r="M44" s="4">
        <f t="shared" ref="M35:M44" si="6">SUM(C44,E44,G44,I44)</f>
        <v>0</v>
      </c>
      <c r="N44" s="1"/>
      <c r="O44" s="1"/>
      <c r="P44" s="1"/>
      <c r="Q44" s="1"/>
    </row>
    <row r="45" spans="1:17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5">
      <c r="A47" s="11"/>
      <c r="B47" s="28" t="s">
        <v>42</v>
      </c>
      <c r="C47" s="28"/>
      <c r="D47" s="28"/>
      <c r="E47" s="28"/>
      <c r="F47" s="1"/>
      <c r="G47" s="1"/>
      <c r="H47" s="1"/>
      <c r="I47" s="1"/>
      <c r="J47" s="1"/>
      <c r="K47" s="1"/>
      <c r="L47" s="11"/>
      <c r="M47" s="1"/>
      <c r="N47" s="1"/>
      <c r="O47" s="1"/>
      <c r="P47" s="1"/>
      <c r="Q47" s="1"/>
    </row>
    <row r="48" spans="1:17" x14ac:dyDescent="0.35">
      <c r="A48" s="11"/>
      <c r="B48" s="7" t="s">
        <v>43</v>
      </c>
      <c r="C48" s="7" t="s">
        <v>44</v>
      </c>
      <c r="D48" s="7" t="s">
        <v>45</v>
      </c>
      <c r="E48" s="7" t="s">
        <v>46</v>
      </c>
      <c r="F48" s="7" t="s">
        <v>47</v>
      </c>
      <c r="G48" s="7" t="s">
        <v>48</v>
      </c>
      <c r="H48" s="7" t="s">
        <v>49</v>
      </c>
      <c r="I48" s="7" t="s">
        <v>50</v>
      </c>
      <c r="J48" s="7" t="s">
        <v>51</v>
      </c>
      <c r="K48" s="7" t="s">
        <v>52</v>
      </c>
      <c r="L48" s="12"/>
      <c r="M48" s="1"/>
      <c r="N48" s="1"/>
      <c r="O48" s="1"/>
      <c r="P48" s="1"/>
      <c r="Q48" s="1"/>
    </row>
    <row r="49" spans="1:17" x14ac:dyDescent="0.35">
      <c r="A49" s="1"/>
      <c r="B49" s="7" t="s">
        <v>5</v>
      </c>
      <c r="C49" s="4">
        <f>COUNTIF($D$5:$D$44,"1")</f>
        <v>19</v>
      </c>
      <c r="D49" s="4">
        <f>COUNTIF($D$5:$D$44,"2")</f>
        <v>14</v>
      </c>
      <c r="E49" s="4">
        <f>COUNTIF($D$5:$D$44,"3")</f>
        <v>6</v>
      </c>
      <c r="F49" s="4">
        <f>COUNTIF($D$5:$D$44,"4")</f>
        <v>0</v>
      </c>
      <c r="G49" s="4">
        <f>COUNTIF($D$5:$D$44,"5")</f>
        <v>0</v>
      </c>
      <c r="H49" s="4">
        <f>COUNTIF($D$5:$D$44,"6")</f>
        <v>0</v>
      </c>
      <c r="I49" s="4">
        <f>COUNTIF($D$5:$D$44,"7")</f>
        <v>0</v>
      </c>
      <c r="J49" s="4">
        <f>COUNTIF($D$5:$D$44,"8")</f>
        <v>0</v>
      </c>
      <c r="K49" s="4">
        <f>COUNTIF($D$5:$D$44,"9")</f>
        <v>0</v>
      </c>
      <c r="L49" s="1"/>
      <c r="M49" s="1"/>
      <c r="N49" s="1"/>
      <c r="O49" s="1"/>
      <c r="P49" s="1"/>
      <c r="Q49" s="1"/>
    </row>
    <row r="50" spans="1:17" x14ac:dyDescent="0.35">
      <c r="A50" s="1"/>
      <c r="B50" s="7" t="s">
        <v>53</v>
      </c>
      <c r="C50" s="4">
        <f>COUNTIF($F$5:$F$44,"1")</f>
        <v>8</v>
      </c>
      <c r="D50" s="4">
        <f>COUNTIF($F$5:$F$44,"2")</f>
        <v>11</v>
      </c>
      <c r="E50" s="4">
        <f>COUNTIF($F$5:$F$44,"3")</f>
        <v>9</v>
      </c>
      <c r="F50" s="4">
        <f>COUNTIF($F$5:$F$44,"4")</f>
        <v>7</v>
      </c>
      <c r="G50" s="4">
        <f>COUNTIF($F$5:$F$44,"5")</f>
        <v>1</v>
      </c>
      <c r="H50" s="4">
        <f>COUNTIF($F$5:$F$44,"6")</f>
        <v>0</v>
      </c>
      <c r="I50" s="4">
        <f>COUNTIF($F$5:$F$44,"7")</f>
        <v>0</v>
      </c>
      <c r="J50" s="4">
        <f>COUNTIF($F$5:$F$44,"8")</f>
        <v>1</v>
      </c>
      <c r="K50" s="4">
        <f>COUNTIF($F$5:$F$44,"9")</f>
        <v>2</v>
      </c>
      <c r="L50" s="1"/>
      <c r="M50" s="1"/>
      <c r="N50" s="1"/>
      <c r="O50" s="1"/>
      <c r="P50" s="1"/>
      <c r="Q50" s="1"/>
    </row>
    <row r="51" spans="1:17" x14ac:dyDescent="0.35">
      <c r="A51" s="1"/>
      <c r="B51" s="7" t="s">
        <v>8</v>
      </c>
      <c r="C51" s="4">
        <f>COUNTIF($H$5:$H$44,"1")</f>
        <v>26</v>
      </c>
      <c r="D51" s="4">
        <f>COUNTIF($H$5:$H$44,"2")</f>
        <v>8</v>
      </c>
      <c r="E51" s="4">
        <f>COUNTIF($H$5:$H$44,"3")</f>
        <v>4</v>
      </c>
      <c r="F51" s="4">
        <f>COUNTIF($H$5:$H$44,"4")</f>
        <v>1</v>
      </c>
      <c r="G51" s="4">
        <f>COUNTIF($H$5:$H$44,"5")</f>
        <v>0</v>
      </c>
      <c r="H51" s="4">
        <f>COUNTIF($H$5:$H$44,"6")</f>
        <v>0</v>
      </c>
      <c r="I51" s="4">
        <f>COUNTIF($H$5:$H$44,"7")</f>
        <v>0</v>
      </c>
      <c r="J51" s="4">
        <f>COUNTIF($H$5:$H$44,"8")</f>
        <v>0</v>
      </c>
      <c r="K51" s="4">
        <f>COUNTIF($H$5:$H$44,"9")</f>
        <v>0</v>
      </c>
      <c r="L51" s="1"/>
      <c r="M51" s="1"/>
      <c r="N51" s="1"/>
      <c r="O51" s="1"/>
      <c r="P51" s="1"/>
      <c r="Q51" s="1"/>
    </row>
    <row r="52" spans="1:17" x14ac:dyDescent="0.35">
      <c r="A52" s="1"/>
      <c r="B52" s="7" t="s">
        <v>9</v>
      </c>
      <c r="C52" s="4">
        <f>COUNTIF($J$5:$J$44,"1")</f>
        <v>38</v>
      </c>
      <c r="D52" s="4">
        <f>COUNTIF($J$5:$J$44,"2")</f>
        <v>1</v>
      </c>
      <c r="E52" s="4">
        <f>COUNTIF($J$5:$J$44,"3")</f>
        <v>0</v>
      </c>
      <c r="F52" s="4">
        <f>COUNTIF($J$5:$J$44,"4")</f>
        <v>0</v>
      </c>
      <c r="G52" s="4">
        <f>COUNTIF($J$5:$J$44,"5")</f>
        <v>0</v>
      </c>
      <c r="H52" s="4">
        <f>COUNTIF($J$5:$J$44,"6")</f>
        <v>0</v>
      </c>
      <c r="I52" s="4">
        <f>COUNTIF($J$5:$J$44,"7")</f>
        <v>0</v>
      </c>
      <c r="J52" s="4">
        <f>COUNTIF($J$5:$J$44,"8")</f>
        <v>0</v>
      </c>
      <c r="K52" s="4">
        <f>COUNTIF($J$5:$J$44,"9")</f>
        <v>0</v>
      </c>
      <c r="L52" s="1"/>
      <c r="M52" s="1"/>
      <c r="N52" s="1"/>
      <c r="O52" s="1"/>
      <c r="P52" s="1"/>
      <c r="Q52" s="1"/>
    </row>
    <row r="53" spans="1:17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35">
      <c r="A54" s="1"/>
      <c r="B54" s="28" t="s">
        <v>54</v>
      </c>
      <c r="C54" s="28"/>
      <c r="D54" s="28"/>
      <c r="E54" s="2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35">
      <c r="A55" s="1"/>
      <c r="B55" s="7" t="s">
        <v>43</v>
      </c>
      <c r="C55" s="7" t="s">
        <v>60</v>
      </c>
      <c r="D55" s="7" t="s">
        <v>55</v>
      </c>
      <c r="E55" s="7" t="s">
        <v>56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35">
      <c r="A56" s="1"/>
      <c r="B56" s="7" t="s">
        <v>5</v>
      </c>
      <c r="C56" s="4">
        <f>IF(C5="","",AVERAGE($C$5:$C$44))</f>
        <v>87.666666666666671</v>
      </c>
      <c r="D56" s="4">
        <f>IF(C5="","",MAX($C$5:$C$44))</f>
        <v>97</v>
      </c>
      <c r="E56" s="4">
        <f>IF(C5="","",MIN($C$5:$C$44))</f>
        <v>71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35">
      <c r="A57" s="1"/>
      <c r="B57" s="7" t="s">
        <v>53</v>
      </c>
      <c r="C57" s="4">
        <f>IF(E5="","",AVERAGE($E$5:$E$44))</f>
        <v>74.512820512820511</v>
      </c>
      <c r="D57" s="4">
        <f>IF(E5="","",MAX($E$5:$E$44))</f>
        <v>96</v>
      </c>
      <c r="E57" s="4">
        <f>IF(E5="","",MIN($E$5:$E$44))</f>
        <v>20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35">
      <c r="A58" s="1"/>
      <c r="B58" s="7" t="s">
        <v>8</v>
      </c>
      <c r="C58" s="4">
        <f>IF(G5="","",AVERAGE($G$5:$G$44))</f>
        <v>112.12820512820512</v>
      </c>
      <c r="D58" s="4">
        <f>IF(G5="","",MAX($G$5:$G$44))</f>
        <v>947</v>
      </c>
      <c r="E58" s="4">
        <f>IF(G5="","",MIN($G$5:$G$44))</f>
        <v>67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5">
      <c r="A59" s="1"/>
      <c r="B59" s="7" t="s">
        <v>9</v>
      </c>
      <c r="C59" s="4">
        <f>IF(I5="","",AVERAGE($I$5:$I$44))</f>
        <v>96.92307692307692</v>
      </c>
      <c r="D59" s="4">
        <f>IF(I5="","",MAX($I$5:$I$44))</f>
        <v>100</v>
      </c>
      <c r="E59" s="4">
        <f>IF(I5="","",MIN($I$5:$I$44))</f>
        <v>80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35">
      <c r="A61" s="1"/>
      <c r="B61" s="29" t="s">
        <v>57</v>
      </c>
      <c r="C61" s="30"/>
      <c r="D61" s="30"/>
      <c r="E61" s="3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35">
      <c r="A62" s="1"/>
      <c r="B62" s="7" t="s">
        <v>6</v>
      </c>
      <c r="C62" s="29">
        <f>MIN($K$5:$K$44)</f>
        <v>4</v>
      </c>
      <c r="D62" s="30"/>
      <c r="E62" s="3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35">
      <c r="A63" s="1"/>
      <c r="B63" s="7" t="s">
        <v>58</v>
      </c>
      <c r="C63" s="29" t="str">
        <f>INDEX($B$5:$B$44,MATCH(C62,$K$5:$K$44,0))</f>
        <v>MWEBAZA VICTORIA</v>
      </c>
      <c r="D63" s="30"/>
      <c r="E63" s="3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35">
      <c r="A64" s="1"/>
      <c r="B64" s="7" t="s">
        <v>38</v>
      </c>
      <c r="C64" s="22" t="str">
        <f>INDEX($L$5:$L$44,MATCH(C62,$K$5:$K$44,0))</f>
        <v>I</v>
      </c>
      <c r="D64" s="23"/>
      <c r="E64" s="2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</sheetData>
  <sortState ref="B5:M43">
    <sortCondition ref="K5:K43"/>
    <sortCondition descending="1" ref="M5:M43"/>
  </sortState>
  <mergeCells count="11">
    <mergeCell ref="C64:E64"/>
    <mergeCell ref="A1:L1"/>
    <mergeCell ref="P2:Q2"/>
    <mergeCell ref="A3:J3"/>
    <mergeCell ref="K3:L3"/>
    <mergeCell ref="B47:E47"/>
    <mergeCell ref="C63:E63"/>
    <mergeCell ref="B54:E54"/>
    <mergeCell ref="B61:E61"/>
    <mergeCell ref="C62:E62"/>
    <mergeCell ref="A2:M2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"/>
  <sheetViews>
    <sheetView topLeftCell="A40" zoomScaleNormal="100" workbookViewId="0">
      <selection activeCell="B61" sqref="B61:E61"/>
    </sheetView>
  </sheetViews>
  <sheetFormatPr defaultRowHeight="14.5" x14ac:dyDescent="0.35"/>
  <cols>
    <col min="1" max="1" width="10.81640625" bestFit="1" customWidth="1"/>
    <col min="2" max="2" width="31.81640625" customWidth="1"/>
    <col min="3" max="3" width="6" customWidth="1"/>
    <col min="4" max="4" width="4.81640625" customWidth="1"/>
    <col min="5" max="6" width="5.26953125" bestFit="1" customWidth="1"/>
    <col min="7" max="7" width="3.81640625" bestFit="1" customWidth="1"/>
    <col min="8" max="8" width="5.26953125" bestFit="1" customWidth="1"/>
    <col min="9" max="9" width="4.453125" bestFit="1" customWidth="1"/>
    <col min="10" max="11" width="5.26953125" bestFit="1" customWidth="1"/>
    <col min="12" max="12" width="4.26953125" bestFit="1" customWidth="1"/>
  </cols>
  <sheetData>
    <row r="1" spans="1:17" ht="14.5" customHeight="1" x14ac:dyDescent="0.4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1"/>
      <c r="N1" s="1"/>
      <c r="O1" s="1"/>
      <c r="P1" s="1"/>
      <c r="Q1" s="1"/>
    </row>
    <row r="2" spans="1:17" ht="38.5" customHeight="1" x14ac:dyDescent="0.4">
      <c r="A2" s="33" t="s">
        <v>117</v>
      </c>
      <c r="B2" s="34"/>
      <c r="C2" s="34"/>
      <c r="D2" s="34"/>
      <c r="E2" s="34"/>
      <c r="F2" s="34"/>
      <c r="G2" s="34"/>
      <c r="H2" s="34"/>
      <c r="I2" s="34"/>
      <c r="J2" s="35"/>
      <c r="K2" s="16"/>
      <c r="L2" s="16"/>
      <c r="M2" s="1"/>
      <c r="N2" s="6" t="s">
        <v>37</v>
      </c>
      <c r="O2" s="6"/>
      <c r="P2" s="26" t="s">
        <v>38</v>
      </c>
      <c r="Q2" s="26"/>
    </row>
    <row r="3" spans="1:17" ht="15.5" x14ac:dyDescent="0.3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 t="s">
        <v>2</v>
      </c>
      <c r="L3" s="27"/>
      <c r="M3" s="1"/>
      <c r="N3" s="6">
        <v>0</v>
      </c>
      <c r="O3" s="6">
        <v>9</v>
      </c>
      <c r="P3" s="6">
        <v>4</v>
      </c>
      <c r="Q3" s="6" t="s">
        <v>39</v>
      </c>
    </row>
    <row r="4" spans="1:17" ht="18.5" x14ac:dyDescent="0.45">
      <c r="A4" s="2" t="s">
        <v>3</v>
      </c>
      <c r="B4" s="2" t="s">
        <v>4</v>
      </c>
      <c r="C4" s="3" t="s">
        <v>5</v>
      </c>
      <c r="D4" s="3" t="s">
        <v>6</v>
      </c>
      <c r="E4" s="3" t="s">
        <v>7</v>
      </c>
      <c r="F4" s="3" t="s">
        <v>6</v>
      </c>
      <c r="G4" s="3" t="s">
        <v>8</v>
      </c>
      <c r="H4" s="3" t="s">
        <v>6</v>
      </c>
      <c r="I4" s="3" t="s">
        <v>9</v>
      </c>
      <c r="J4" s="3" t="s">
        <v>6</v>
      </c>
      <c r="K4" s="3" t="s">
        <v>6</v>
      </c>
      <c r="L4" s="3" t="s">
        <v>10</v>
      </c>
      <c r="M4" s="9" t="s">
        <v>59</v>
      </c>
      <c r="N4" s="6">
        <v>40</v>
      </c>
      <c r="O4" s="6">
        <v>8</v>
      </c>
      <c r="P4" s="6">
        <v>13</v>
      </c>
      <c r="Q4" s="6" t="s">
        <v>11</v>
      </c>
    </row>
    <row r="5" spans="1:17" ht="15.5" x14ac:dyDescent="0.35">
      <c r="A5" s="7" t="s">
        <v>74</v>
      </c>
      <c r="B5" s="5" t="s">
        <v>12</v>
      </c>
      <c r="C5" s="8"/>
      <c r="D5" s="7" t="str">
        <f t="shared" ref="D5:D44" si="0">IF(C5="","",VLOOKUP(C5,$N$3:$O$11,2,TRUE))</f>
        <v/>
      </c>
      <c r="E5" s="8"/>
      <c r="F5" s="7" t="str">
        <f t="shared" ref="F5:F44" si="1">IF(E5="","",VLOOKUP(E5,$N$3:$O$11,2,TRUE))</f>
        <v/>
      </c>
      <c r="G5" s="8"/>
      <c r="H5" s="7" t="str">
        <f t="shared" ref="H5:H44" si="2">IF(G5="","",VLOOKUP(G5,$N$3:$O$11,2,TRUE))</f>
        <v/>
      </c>
      <c r="I5" s="8"/>
      <c r="J5" s="7" t="str">
        <f t="shared" ref="J5:J44" si="3">IF(I5="","",VLOOKUP(I5,$N$3:$O$11,2,TRUE))</f>
        <v/>
      </c>
      <c r="K5" s="4" t="str">
        <f t="shared" ref="K5:K44" si="4">IF(C5="","",IF(E5="","",IF(G5="","",IF(I5="","",SUM(D5,F5,H5,J5)))))</f>
        <v/>
      </c>
      <c r="L5" s="4" t="str">
        <f t="shared" ref="L5:L44" si="5">IF(K5="","",VLOOKUP(K5,$P$3:$Q$7,2,TRUE))</f>
        <v/>
      </c>
      <c r="M5" s="1">
        <f t="shared" ref="M5:M44" si="6">SUM(C5,E5,G5,I5)</f>
        <v>0</v>
      </c>
      <c r="N5" s="6">
        <v>45</v>
      </c>
      <c r="O5" s="6">
        <v>7</v>
      </c>
      <c r="P5" s="6">
        <v>25</v>
      </c>
      <c r="Q5" s="6" t="s">
        <v>40</v>
      </c>
    </row>
    <row r="6" spans="1:17" ht="15.5" x14ac:dyDescent="0.35">
      <c r="A6" s="7" t="s">
        <v>75</v>
      </c>
      <c r="B6" s="5" t="s">
        <v>13</v>
      </c>
      <c r="C6" s="8"/>
      <c r="D6" s="7" t="str">
        <f t="shared" si="0"/>
        <v/>
      </c>
      <c r="E6" s="8"/>
      <c r="F6" s="7" t="str">
        <f t="shared" si="1"/>
        <v/>
      </c>
      <c r="G6" s="8"/>
      <c r="H6" s="7" t="str">
        <f t="shared" si="2"/>
        <v/>
      </c>
      <c r="I6" s="8"/>
      <c r="J6" s="7" t="str">
        <f t="shared" si="3"/>
        <v/>
      </c>
      <c r="K6" s="4" t="str">
        <f t="shared" si="4"/>
        <v/>
      </c>
      <c r="L6" s="4" t="str">
        <f t="shared" si="5"/>
        <v/>
      </c>
      <c r="M6" s="1">
        <f t="shared" si="6"/>
        <v>0</v>
      </c>
      <c r="N6" s="6">
        <v>55</v>
      </c>
      <c r="O6" s="6">
        <v>6</v>
      </c>
      <c r="P6" s="6">
        <v>29</v>
      </c>
      <c r="Q6" s="6" t="s">
        <v>116</v>
      </c>
    </row>
    <row r="7" spans="1:17" ht="15.5" x14ac:dyDescent="0.35">
      <c r="A7" s="7" t="s">
        <v>76</v>
      </c>
      <c r="B7" s="5" t="s">
        <v>66</v>
      </c>
      <c r="C7" s="8"/>
      <c r="D7" s="7" t="str">
        <f t="shared" si="0"/>
        <v/>
      </c>
      <c r="E7" s="8"/>
      <c r="F7" s="7" t="str">
        <f t="shared" si="1"/>
        <v/>
      </c>
      <c r="G7" s="8"/>
      <c r="H7" s="7" t="str">
        <f t="shared" si="2"/>
        <v/>
      </c>
      <c r="I7" s="8"/>
      <c r="J7" s="7" t="str">
        <f t="shared" si="3"/>
        <v/>
      </c>
      <c r="K7" s="4" t="str">
        <f t="shared" si="4"/>
        <v/>
      </c>
      <c r="L7" s="4" t="str">
        <f t="shared" si="5"/>
        <v/>
      </c>
      <c r="M7" s="1">
        <f t="shared" si="6"/>
        <v>0</v>
      </c>
      <c r="N7" s="6">
        <v>50</v>
      </c>
      <c r="O7" s="6">
        <v>5</v>
      </c>
      <c r="P7" s="13">
        <v>33</v>
      </c>
      <c r="Q7" s="13" t="s">
        <v>41</v>
      </c>
    </row>
    <row r="8" spans="1:17" ht="15.5" x14ac:dyDescent="0.35">
      <c r="A8" s="7" t="s">
        <v>77</v>
      </c>
      <c r="B8" s="5" t="s">
        <v>32</v>
      </c>
      <c r="C8" s="8"/>
      <c r="D8" s="7" t="str">
        <f t="shared" si="0"/>
        <v/>
      </c>
      <c r="E8" s="8"/>
      <c r="F8" s="7" t="str">
        <f t="shared" si="1"/>
        <v/>
      </c>
      <c r="G8" s="8"/>
      <c r="H8" s="7" t="str">
        <f t="shared" si="2"/>
        <v/>
      </c>
      <c r="I8" s="8"/>
      <c r="J8" s="7" t="str">
        <f t="shared" si="3"/>
        <v/>
      </c>
      <c r="K8" s="4" t="str">
        <f t="shared" si="4"/>
        <v/>
      </c>
      <c r="L8" s="4" t="str">
        <f t="shared" si="5"/>
        <v/>
      </c>
      <c r="M8" s="1">
        <f t="shared" si="6"/>
        <v>0</v>
      </c>
      <c r="N8" s="14">
        <v>60</v>
      </c>
      <c r="O8" s="14">
        <v>4</v>
      </c>
      <c r="P8" s="1"/>
      <c r="Q8" s="1"/>
    </row>
    <row r="9" spans="1:17" ht="15.5" x14ac:dyDescent="0.35">
      <c r="A9" s="7" t="s">
        <v>78</v>
      </c>
      <c r="B9" s="5" t="s">
        <v>27</v>
      </c>
      <c r="C9" s="8"/>
      <c r="D9" s="7" t="str">
        <f t="shared" si="0"/>
        <v/>
      </c>
      <c r="E9" s="8"/>
      <c r="F9" s="7" t="str">
        <f t="shared" si="1"/>
        <v/>
      </c>
      <c r="G9" s="8"/>
      <c r="H9" s="7" t="str">
        <f t="shared" si="2"/>
        <v/>
      </c>
      <c r="I9" s="8"/>
      <c r="J9" s="7" t="str">
        <f t="shared" si="3"/>
        <v/>
      </c>
      <c r="K9" s="4" t="str">
        <f t="shared" si="4"/>
        <v/>
      </c>
      <c r="L9" s="4" t="str">
        <f t="shared" si="5"/>
        <v/>
      </c>
      <c r="M9" s="1">
        <f t="shared" si="6"/>
        <v>0</v>
      </c>
      <c r="N9" s="13">
        <v>70</v>
      </c>
      <c r="O9" s="13">
        <v>3</v>
      </c>
      <c r="P9" s="1"/>
      <c r="Q9" s="1"/>
    </row>
    <row r="10" spans="1:17" ht="15.5" x14ac:dyDescent="0.35">
      <c r="A10" s="7" t="s">
        <v>79</v>
      </c>
      <c r="B10" s="5" t="s">
        <v>26</v>
      </c>
      <c r="C10" s="8"/>
      <c r="D10" s="7" t="str">
        <f t="shared" si="0"/>
        <v/>
      </c>
      <c r="E10" s="8"/>
      <c r="F10" s="7" t="str">
        <f t="shared" si="1"/>
        <v/>
      </c>
      <c r="G10" s="8"/>
      <c r="H10" s="7" t="str">
        <f t="shared" si="2"/>
        <v/>
      </c>
      <c r="I10" s="8"/>
      <c r="J10" s="7" t="str">
        <f t="shared" si="3"/>
        <v/>
      </c>
      <c r="K10" s="4" t="str">
        <f t="shared" si="4"/>
        <v/>
      </c>
      <c r="L10" s="4" t="str">
        <f t="shared" si="5"/>
        <v/>
      </c>
      <c r="M10" s="1">
        <f t="shared" si="6"/>
        <v>0</v>
      </c>
      <c r="N10" s="13">
        <v>80</v>
      </c>
      <c r="O10" s="13">
        <v>2</v>
      </c>
      <c r="P10" s="1"/>
      <c r="Q10" s="1"/>
    </row>
    <row r="11" spans="1:17" ht="15.5" x14ac:dyDescent="0.35">
      <c r="A11" s="7" t="s">
        <v>80</v>
      </c>
      <c r="B11" s="5" t="s">
        <v>63</v>
      </c>
      <c r="C11" s="8"/>
      <c r="D11" s="7" t="str">
        <f t="shared" si="0"/>
        <v/>
      </c>
      <c r="E11" s="8"/>
      <c r="F11" s="7" t="str">
        <f t="shared" si="1"/>
        <v/>
      </c>
      <c r="G11" s="8"/>
      <c r="H11" s="7" t="str">
        <f t="shared" si="2"/>
        <v/>
      </c>
      <c r="I11" s="8"/>
      <c r="J11" s="7" t="str">
        <f t="shared" si="3"/>
        <v/>
      </c>
      <c r="K11" s="4" t="str">
        <f t="shared" si="4"/>
        <v/>
      </c>
      <c r="L11" s="4" t="str">
        <f t="shared" si="5"/>
        <v/>
      </c>
      <c r="M11" s="1">
        <f t="shared" si="6"/>
        <v>0</v>
      </c>
      <c r="N11" s="13">
        <v>90</v>
      </c>
      <c r="O11" s="13">
        <v>1</v>
      </c>
      <c r="P11" s="1"/>
      <c r="Q11" s="1"/>
    </row>
    <row r="12" spans="1:17" ht="15.5" x14ac:dyDescent="0.35">
      <c r="A12" s="7" t="s">
        <v>81</v>
      </c>
      <c r="B12" s="5" t="s">
        <v>14</v>
      </c>
      <c r="C12" s="8"/>
      <c r="D12" s="7" t="str">
        <f t="shared" si="0"/>
        <v/>
      </c>
      <c r="E12" s="8"/>
      <c r="F12" s="7" t="str">
        <f t="shared" si="1"/>
        <v/>
      </c>
      <c r="G12" s="8"/>
      <c r="H12" s="7" t="str">
        <f t="shared" si="2"/>
        <v/>
      </c>
      <c r="I12" s="8"/>
      <c r="J12" s="7" t="str">
        <f t="shared" si="3"/>
        <v/>
      </c>
      <c r="K12" s="4" t="str">
        <f t="shared" si="4"/>
        <v/>
      </c>
      <c r="L12" s="4" t="str">
        <f t="shared" si="5"/>
        <v/>
      </c>
      <c r="M12" s="1">
        <f t="shared" si="6"/>
        <v>0</v>
      </c>
      <c r="N12" s="1"/>
      <c r="O12" s="1"/>
      <c r="P12" s="1"/>
      <c r="Q12" s="1"/>
    </row>
    <row r="13" spans="1:17" ht="15.5" x14ac:dyDescent="0.35">
      <c r="A13" s="7" t="s">
        <v>82</v>
      </c>
      <c r="B13" s="5" t="s">
        <v>15</v>
      </c>
      <c r="C13" s="8"/>
      <c r="D13" s="7" t="str">
        <f t="shared" si="0"/>
        <v/>
      </c>
      <c r="E13" s="8"/>
      <c r="F13" s="7" t="str">
        <f t="shared" si="1"/>
        <v/>
      </c>
      <c r="G13" s="8"/>
      <c r="H13" s="7" t="str">
        <f t="shared" si="2"/>
        <v/>
      </c>
      <c r="I13" s="8"/>
      <c r="J13" s="7" t="str">
        <f t="shared" si="3"/>
        <v/>
      </c>
      <c r="K13" s="4" t="str">
        <f t="shared" si="4"/>
        <v/>
      </c>
      <c r="L13" s="4" t="str">
        <f t="shared" si="5"/>
        <v/>
      </c>
      <c r="M13" s="1">
        <f t="shared" si="6"/>
        <v>0</v>
      </c>
      <c r="N13" s="1"/>
      <c r="O13" s="1"/>
      <c r="P13" s="1"/>
      <c r="Q13" s="1"/>
    </row>
    <row r="14" spans="1:17" ht="15.5" x14ac:dyDescent="0.35">
      <c r="A14" s="7" t="s">
        <v>83</v>
      </c>
      <c r="B14" s="5" t="s">
        <v>16</v>
      </c>
      <c r="C14" s="8"/>
      <c r="D14" s="7" t="str">
        <f t="shared" si="0"/>
        <v/>
      </c>
      <c r="E14" s="8"/>
      <c r="F14" s="7" t="str">
        <f t="shared" si="1"/>
        <v/>
      </c>
      <c r="G14" s="8"/>
      <c r="H14" s="7" t="str">
        <f t="shared" si="2"/>
        <v/>
      </c>
      <c r="I14" s="8"/>
      <c r="J14" s="7" t="str">
        <f t="shared" si="3"/>
        <v/>
      </c>
      <c r="K14" s="4" t="str">
        <f t="shared" si="4"/>
        <v/>
      </c>
      <c r="L14" s="4" t="str">
        <f t="shared" si="5"/>
        <v/>
      </c>
      <c r="M14" s="1">
        <f t="shared" si="6"/>
        <v>0</v>
      </c>
      <c r="N14" s="1"/>
      <c r="O14" s="1"/>
      <c r="P14" s="1"/>
      <c r="Q14" s="1"/>
    </row>
    <row r="15" spans="1:17" ht="15.5" x14ac:dyDescent="0.35">
      <c r="A15" s="7" t="s">
        <v>84</v>
      </c>
      <c r="B15" s="5" t="s">
        <v>17</v>
      </c>
      <c r="C15" s="8"/>
      <c r="D15" s="7" t="str">
        <f t="shared" si="0"/>
        <v/>
      </c>
      <c r="E15" s="8"/>
      <c r="F15" s="7" t="str">
        <f t="shared" si="1"/>
        <v/>
      </c>
      <c r="G15" s="8"/>
      <c r="H15" s="7" t="str">
        <f t="shared" si="2"/>
        <v/>
      </c>
      <c r="I15" s="8"/>
      <c r="J15" s="7" t="str">
        <f t="shared" si="3"/>
        <v/>
      </c>
      <c r="K15" s="4" t="str">
        <f t="shared" si="4"/>
        <v/>
      </c>
      <c r="L15" s="4" t="str">
        <f t="shared" si="5"/>
        <v/>
      </c>
      <c r="M15" s="1">
        <f t="shared" si="6"/>
        <v>0</v>
      </c>
      <c r="N15" s="1"/>
      <c r="O15" s="1"/>
      <c r="P15" s="1"/>
      <c r="Q15" s="1"/>
    </row>
    <row r="16" spans="1:17" ht="15.5" x14ac:dyDescent="0.35">
      <c r="A16" s="7" t="s">
        <v>85</v>
      </c>
      <c r="B16" s="5" t="s">
        <v>18</v>
      </c>
      <c r="C16" s="8"/>
      <c r="D16" s="7" t="str">
        <f t="shared" si="0"/>
        <v/>
      </c>
      <c r="E16" s="8"/>
      <c r="F16" s="7" t="str">
        <f t="shared" si="1"/>
        <v/>
      </c>
      <c r="G16" s="8"/>
      <c r="H16" s="7" t="str">
        <f t="shared" si="2"/>
        <v/>
      </c>
      <c r="I16" s="8"/>
      <c r="J16" s="7" t="str">
        <f t="shared" si="3"/>
        <v/>
      </c>
      <c r="K16" s="4" t="str">
        <f t="shared" si="4"/>
        <v/>
      </c>
      <c r="L16" s="4" t="str">
        <f t="shared" si="5"/>
        <v/>
      </c>
      <c r="M16" s="1">
        <f t="shared" si="6"/>
        <v>0</v>
      </c>
      <c r="N16" s="1"/>
      <c r="O16" s="1"/>
      <c r="P16" s="1"/>
      <c r="Q16" s="1"/>
    </row>
    <row r="17" spans="1:17" ht="15.5" x14ac:dyDescent="0.35">
      <c r="A17" s="7" t="s">
        <v>86</v>
      </c>
      <c r="B17" s="5" t="s">
        <v>69</v>
      </c>
      <c r="C17" s="8"/>
      <c r="D17" s="7" t="str">
        <f t="shared" si="0"/>
        <v/>
      </c>
      <c r="E17" s="8"/>
      <c r="F17" s="7" t="str">
        <f t="shared" si="1"/>
        <v/>
      </c>
      <c r="G17" s="8"/>
      <c r="H17" s="7" t="str">
        <f t="shared" si="2"/>
        <v/>
      </c>
      <c r="I17" s="8"/>
      <c r="J17" s="7" t="str">
        <f t="shared" si="3"/>
        <v/>
      </c>
      <c r="K17" s="4" t="str">
        <f t="shared" si="4"/>
        <v/>
      </c>
      <c r="L17" s="4" t="str">
        <f t="shared" si="5"/>
        <v/>
      </c>
      <c r="M17" s="1">
        <f t="shared" si="6"/>
        <v>0</v>
      </c>
      <c r="N17" s="1"/>
      <c r="O17" s="1"/>
      <c r="P17" s="1"/>
      <c r="Q17" s="1"/>
    </row>
    <row r="18" spans="1:17" ht="15.5" x14ac:dyDescent="0.35">
      <c r="A18" s="7" t="s">
        <v>87</v>
      </c>
      <c r="B18" s="5" t="s">
        <v>30</v>
      </c>
      <c r="C18" s="8"/>
      <c r="D18" s="7" t="str">
        <f t="shared" si="0"/>
        <v/>
      </c>
      <c r="E18" s="8"/>
      <c r="F18" s="7" t="str">
        <f t="shared" si="1"/>
        <v/>
      </c>
      <c r="G18" s="8"/>
      <c r="H18" s="7" t="str">
        <f t="shared" si="2"/>
        <v/>
      </c>
      <c r="I18" s="8"/>
      <c r="J18" s="7" t="str">
        <f t="shared" si="3"/>
        <v/>
      </c>
      <c r="K18" s="4" t="str">
        <f t="shared" si="4"/>
        <v/>
      </c>
      <c r="L18" s="4" t="str">
        <f t="shared" si="5"/>
        <v/>
      </c>
      <c r="M18" s="1">
        <f t="shared" si="6"/>
        <v>0</v>
      </c>
      <c r="N18" s="1"/>
      <c r="O18" s="1"/>
      <c r="P18" s="1"/>
      <c r="Q18" s="1"/>
    </row>
    <row r="19" spans="1:17" ht="15.5" x14ac:dyDescent="0.35">
      <c r="A19" s="7" t="s">
        <v>88</v>
      </c>
      <c r="B19" s="5" t="s">
        <v>35</v>
      </c>
      <c r="C19" s="8"/>
      <c r="D19" s="7" t="str">
        <f t="shared" si="0"/>
        <v/>
      </c>
      <c r="E19" s="8"/>
      <c r="F19" s="7" t="str">
        <f t="shared" si="1"/>
        <v/>
      </c>
      <c r="G19" s="8"/>
      <c r="H19" s="7" t="str">
        <f t="shared" si="2"/>
        <v/>
      </c>
      <c r="I19" s="8"/>
      <c r="J19" s="7" t="str">
        <f t="shared" si="3"/>
        <v/>
      </c>
      <c r="K19" s="4" t="str">
        <f t="shared" si="4"/>
        <v/>
      </c>
      <c r="L19" s="4" t="str">
        <f t="shared" si="5"/>
        <v/>
      </c>
      <c r="M19" s="1">
        <f t="shared" si="6"/>
        <v>0</v>
      </c>
      <c r="N19" s="1"/>
      <c r="O19" s="1"/>
      <c r="P19" s="1"/>
      <c r="Q19" s="1"/>
    </row>
    <row r="20" spans="1:17" ht="15.5" x14ac:dyDescent="0.35">
      <c r="A20" s="7" t="s">
        <v>89</v>
      </c>
      <c r="B20" s="5" t="s">
        <v>33</v>
      </c>
      <c r="C20" s="8"/>
      <c r="D20" s="7" t="str">
        <f t="shared" si="0"/>
        <v/>
      </c>
      <c r="E20" s="8"/>
      <c r="F20" s="7" t="str">
        <f t="shared" si="1"/>
        <v/>
      </c>
      <c r="G20" s="8"/>
      <c r="H20" s="7" t="str">
        <f t="shared" si="2"/>
        <v/>
      </c>
      <c r="I20" s="8"/>
      <c r="J20" s="7" t="str">
        <f t="shared" si="3"/>
        <v/>
      </c>
      <c r="K20" s="4" t="str">
        <f t="shared" si="4"/>
        <v/>
      </c>
      <c r="L20" s="4" t="str">
        <f t="shared" si="5"/>
        <v/>
      </c>
      <c r="M20" s="1">
        <f t="shared" si="6"/>
        <v>0</v>
      </c>
      <c r="N20" s="1"/>
      <c r="O20" s="1"/>
      <c r="P20" s="1"/>
      <c r="Q20" s="1"/>
    </row>
    <row r="21" spans="1:17" ht="15.5" x14ac:dyDescent="0.35">
      <c r="A21" s="7" t="s">
        <v>90</v>
      </c>
      <c r="B21" s="5" t="s">
        <v>67</v>
      </c>
      <c r="C21" s="8"/>
      <c r="D21" s="7" t="str">
        <f t="shared" si="0"/>
        <v/>
      </c>
      <c r="E21" s="8"/>
      <c r="F21" s="7" t="str">
        <f t="shared" si="1"/>
        <v/>
      </c>
      <c r="G21" s="8"/>
      <c r="H21" s="7" t="str">
        <f t="shared" si="2"/>
        <v/>
      </c>
      <c r="I21" s="8"/>
      <c r="J21" s="7" t="str">
        <f t="shared" si="3"/>
        <v/>
      </c>
      <c r="K21" s="4" t="str">
        <f t="shared" si="4"/>
        <v/>
      </c>
      <c r="L21" s="4" t="str">
        <f t="shared" si="5"/>
        <v/>
      </c>
      <c r="M21" s="1">
        <f t="shared" si="6"/>
        <v>0</v>
      </c>
      <c r="N21" s="1"/>
      <c r="O21" s="1"/>
      <c r="P21" s="1"/>
      <c r="Q21" s="1"/>
    </row>
    <row r="22" spans="1:17" ht="15.5" x14ac:dyDescent="0.35">
      <c r="A22" s="7" t="s">
        <v>91</v>
      </c>
      <c r="B22" s="5" t="s">
        <v>28</v>
      </c>
      <c r="C22" s="8"/>
      <c r="D22" s="7" t="str">
        <f t="shared" si="0"/>
        <v/>
      </c>
      <c r="E22" s="8"/>
      <c r="F22" s="7" t="str">
        <f t="shared" si="1"/>
        <v/>
      </c>
      <c r="G22" s="8"/>
      <c r="H22" s="7" t="str">
        <f t="shared" si="2"/>
        <v/>
      </c>
      <c r="I22" s="8"/>
      <c r="J22" s="7" t="str">
        <f t="shared" si="3"/>
        <v/>
      </c>
      <c r="K22" s="4" t="str">
        <f t="shared" si="4"/>
        <v/>
      </c>
      <c r="L22" s="4" t="str">
        <f t="shared" si="5"/>
        <v/>
      </c>
      <c r="M22" s="1">
        <f t="shared" si="6"/>
        <v>0</v>
      </c>
      <c r="N22" s="1"/>
      <c r="O22" s="1"/>
      <c r="P22" s="1"/>
      <c r="Q22" s="1"/>
    </row>
    <row r="23" spans="1:17" ht="15.5" x14ac:dyDescent="0.35">
      <c r="A23" s="7" t="s">
        <v>92</v>
      </c>
      <c r="B23" s="5" t="s">
        <v>65</v>
      </c>
      <c r="C23" s="8"/>
      <c r="D23" s="7" t="str">
        <f t="shared" si="0"/>
        <v/>
      </c>
      <c r="E23" s="8"/>
      <c r="F23" s="7" t="str">
        <f t="shared" si="1"/>
        <v/>
      </c>
      <c r="G23" s="8"/>
      <c r="H23" s="7" t="str">
        <f t="shared" si="2"/>
        <v/>
      </c>
      <c r="I23" s="8"/>
      <c r="J23" s="7" t="str">
        <f t="shared" si="3"/>
        <v/>
      </c>
      <c r="K23" s="4" t="str">
        <f t="shared" si="4"/>
        <v/>
      </c>
      <c r="L23" s="4" t="str">
        <f t="shared" si="5"/>
        <v/>
      </c>
      <c r="M23" s="1">
        <f t="shared" si="6"/>
        <v>0</v>
      </c>
      <c r="N23" s="1"/>
      <c r="O23" s="1"/>
      <c r="P23" s="1"/>
      <c r="Q23" s="1"/>
    </row>
    <row r="24" spans="1:17" ht="15.5" x14ac:dyDescent="0.35">
      <c r="A24" s="7" t="s">
        <v>93</v>
      </c>
      <c r="B24" s="5" t="s">
        <v>70</v>
      </c>
      <c r="C24" s="8"/>
      <c r="D24" s="7" t="str">
        <f t="shared" si="0"/>
        <v/>
      </c>
      <c r="E24" s="8"/>
      <c r="F24" s="7" t="str">
        <f t="shared" si="1"/>
        <v/>
      </c>
      <c r="G24" s="8"/>
      <c r="H24" s="7" t="str">
        <f t="shared" si="2"/>
        <v/>
      </c>
      <c r="I24" s="8"/>
      <c r="J24" s="7" t="str">
        <f t="shared" si="3"/>
        <v/>
      </c>
      <c r="K24" s="4" t="str">
        <f t="shared" si="4"/>
        <v/>
      </c>
      <c r="L24" s="4" t="str">
        <f t="shared" si="5"/>
        <v/>
      </c>
      <c r="M24" s="1">
        <f t="shared" si="6"/>
        <v>0</v>
      </c>
      <c r="N24" s="1"/>
      <c r="O24" s="1"/>
      <c r="P24" s="1"/>
      <c r="Q24" s="1"/>
    </row>
    <row r="25" spans="1:17" ht="15.5" x14ac:dyDescent="0.35">
      <c r="A25" s="7" t="s">
        <v>94</v>
      </c>
      <c r="B25" s="5" t="s">
        <v>24</v>
      </c>
      <c r="C25" s="8"/>
      <c r="D25" s="7" t="str">
        <f t="shared" si="0"/>
        <v/>
      </c>
      <c r="E25" s="8"/>
      <c r="F25" s="7" t="str">
        <f t="shared" si="1"/>
        <v/>
      </c>
      <c r="G25" s="8"/>
      <c r="H25" s="7" t="str">
        <f t="shared" si="2"/>
        <v/>
      </c>
      <c r="I25" s="8"/>
      <c r="J25" s="7" t="str">
        <f t="shared" si="3"/>
        <v/>
      </c>
      <c r="K25" s="4" t="str">
        <f t="shared" si="4"/>
        <v/>
      </c>
      <c r="L25" s="4" t="str">
        <f t="shared" si="5"/>
        <v/>
      </c>
      <c r="M25" s="1">
        <f t="shared" si="6"/>
        <v>0</v>
      </c>
      <c r="N25" s="1"/>
      <c r="O25" s="1"/>
      <c r="P25" s="1"/>
      <c r="Q25" s="1"/>
    </row>
    <row r="26" spans="1:17" ht="15.5" x14ac:dyDescent="0.35">
      <c r="A26" s="7" t="s">
        <v>95</v>
      </c>
      <c r="B26" s="5" t="s">
        <v>23</v>
      </c>
      <c r="C26" s="8"/>
      <c r="D26" s="7" t="str">
        <f t="shared" si="0"/>
        <v/>
      </c>
      <c r="E26" s="8"/>
      <c r="F26" s="7" t="str">
        <f t="shared" si="1"/>
        <v/>
      </c>
      <c r="G26" s="8"/>
      <c r="H26" s="7" t="str">
        <f t="shared" si="2"/>
        <v/>
      </c>
      <c r="I26" s="8"/>
      <c r="J26" s="7" t="str">
        <f t="shared" si="3"/>
        <v/>
      </c>
      <c r="K26" s="4" t="str">
        <f t="shared" si="4"/>
        <v/>
      </c>
      <c r="L26" s="4" t="str">
        <f t="shared" si="5"/>
        <v/>
      </c>
      <c r="M26" s="1">
        <f t="shared" si="6"/>
        <v>0</v>
      </c>
      <c r="N26" s="1"/>
      <c r="O26" s="1"/>
      <c r="P26" s="1"/>
      <c r="Q26" s="1"/>
    </row>
    <row r="27" spans="1:17" ht="15.5" x14ac:dyDescent="0.35">
      <c r="A27" s="7" t="s">
        <v>96</v>
      </c>
      <c r="B27" s="5" t="s">
        <v>21</v>
      </c>
      <c r="C27" s="8"/>
      <c r="D27" s="7" t="str">
        <f t="shared" si="0"/>
        <v/>
      </c>
      <c r="E27" s="8"/>
      <c r="F27" s="7" t="str">
        <f t="shared" si="1"/>
        <v/>
      </c>
      <c r="G27" s="8"/>
      <c r="H27" s="7" t="str">
        <f t="shared" si="2"/>
        <v/>
      </c>
      <c r="I27" s="8"/>
      <c r="J27" s="7" t="str">
        <f t="shared" si="3"/>
        <v/>
      </c>
      <c r="K27" s="4" t="str">
        <f t="shared" si="4"/>
        <v/>
      </c>
      <c r="L27" s="4" t="str">
        <f t="shared" si="5"/>
        <v/>
      </c>
      <c r="M27" s="1">
        <f t="shared" si="6"/>
        <v>0</v>
      </c>
      <c r="N27" s="1"/>
      <c r="O27" s="1"/>
      <c r="P27" s="1"/>
      <c r="Q27" s="1"/>
    </row>
    <row r="28" spans="1:17" ht="15.5" x14ac:dyDescent="0.35">
      <c r="A28" s="7" t="s">
        <v>97</v>
      </c>
      <c r="B28" s="5" t="s">
        <v>29</v>
      </c>
      <c r="C28" s="8"/>
      <c r="D28" s="7" t="str">
        <f t="shared" si="0"/>
        <v/>
      </c>
      <c r="E28" s="8"/>
      <c r="F28" s="7" t="str">
        <f t="shared" si="1"/>
        <v/>
      </c>
      <c r="G28" s="8"/>
      <c r="H28" s="7" t="str">
        <f t="shared" si="2"/>
        <v/>
      </c>
      <c r="I28" s="8"/>
      <c r="J28" s="7" t="str">
        <f t="shared" si="3"/>
        <v/>
      </c>
      <c r="K28" s="4" t="str">
        <f t="shared" si="4"/>
        <v/>
      </c>
      <c r="L28" s="4" t="str">
        <f t="shared" si="5"/>
        <v/>
      </c>
      <c r="M28" s="1">
        <f t="shared" si="6"/>
        <v>0</v>
      </c>
      <c r="N28" s="1"/>
      <c r="O28" s="1"/>
      <c r="P28" s="1"/>
      <c r="Q28" s="1"/>
    </row>
    <row r="29" spans="1:17" ht="15.5" x14ac:dyDescent="0.35">
      <c r="A29" s="7" t="s">
        <v>98</v>
      </c>
      <c r="B29" s="5" t="s">
        <v>68</v>
      </c>
      <c r="C29" s="8"/>
      <c r="D29" s="7" t="str">
        <f t="shared" si="0"/>
        <v/>
      </c>
      <c r="E29" s="8"/>
      <c r="F29" s="7" t="str">
        <f t="shared" si="1"/>
        <v/>
      </c>
      <c r="G29" s="8"/>
      <c r="H29" s="7" t="str">
        <f t="shared" si="2"/>
        <v/>
      </c>
      <c r="I29" s="8"/>
      <c r="J29" s="7" t="str">
        <f t="shared" si="3"/>
        <v/>
      </c>
      <c r="K29" s="4" t="str">
        <f t="shared" si="4"/>
        <v/>
      </c>
      <c r="L29" s="4" t="str">
        <f t="shared" si="5"/>
        <v/>
      </c>
      <c r="M29" s="1">
        <f t="shared" si="6"/>
        <v>0</v>
      </c>
      <c r="N29" s="1"/>
      <c r="O29" s="1"/>
      <c r="P29" s="1"/>
      <c r="Q29" s="1"/>
    </row>
    <row r="30" spans="1:17" ht="15.5" x14ac:dyDescent="0.35">
      <c r="A30" s="7" t="s">
        <v>99</v>
      </c>
      <c r="B30" s="5" t="s">
        <v>19</v>
      </c>
      <c r="C30" s="8"/>
      <c r="D30" s="7" t="str">
        <f t="shared" si="0"/>
        <v/>
      </c>
      <c r="E30" s="8"/>
      <c r="F30" s="7" t="str">
        <f t="shared" si="1"/>
        <v/>
      </c>
      <c r="G30" s="8"/>
      <c r="H30" s="7" t="str">
        <f t="shared" si="2"/>
        <v/>
      </c>
      <c r="I30" s="8"/>
      <c r="J30" s="7" t="str">
        <f t="shared" si="3"/>
        <v/>
      </c>
      <c r="K30" s="4" t="str">
        <f t="shared" si="4"/>
        <v/>
      </c>
      <c r="L30" s="4" t="str">
        <f t="shared" si="5"/>
        <v/>
      </c>
      <c r="M30" s="1">
        <f t="shared" si="6"/>
        <v>0</v>
      </c>
      <c r="N30" s="1"/>
      <c r="O30" s="1"/>
      <c r="P30" s="1"/>
      <c r="Q30" s="1"/>
    </row>
    <row r="31" spans="1:17" ht="15.5" x14ac:dyDescent="0.35">
      <c r="A31" s="7" t="s">
        <v>100</v>
      </c>
      <c r="B31" s="5" t="s">
        <v>36</v>
      </c>
      <c r="C31" s="8"/>
      <c r="D31" s="7" t="str">
        <f t="shared" si="0"/>
        <v/>
      </c>
      <c r="E31" s="8"/>
      <c r="F31" s="7" t="str">
        <f t="shared" si="1"/>
        <v/>
      </c>
      <c r="G31" s="8"/>
      <c r="H31" s="7" t="str">
        <f t="shared" si="2"/>
        <v/>
      </c>
      <c r="I31" s="8"/>
      <c r="J31" s="7" t="str">
        <f t="shared" si="3"/>
        <v/>
      </c>
      <c r="K31" s="4" t="str">
        <f t="shared" si="4"/>
        <v/>
      </c>
      <c r="L31" s="4" t="str">
        <f t="shared" si="5"/>
        <v/>
      </c>
      <c r="M31" s="1">
        <f t="shared" si="6"/>
        <v>0</v>
      </c>
      <c r="N31" s="1"/>
      <c r="O31" s="1"/>
      <c r="P31" s="1"/>
      <c r="Q31" s="1"/>
    </row>
    <row r="32" spans="1:17" ht="15.5" x14ac:dyDescent="0.35">
      <c r="A32" s="7" t="s">
        <v>101</v>
      </c>
      <c r="B32" s="5" t="s">
        <v>62</v>
      </c>
      <c r="C32" s="8"/>
      <c r="D32" s="7" t="str">
        <f t="shared" si="0"/>
        <v/>
      </c>
      <c r="E32" s="8"/>
      <c r="F32" s="7" t="str">
        <f t="shared" si="1"/>
        <v/>
      </c>
      <c r="G32" s="8"/>
      <c r="H32" s="7" t="str">
        <f t="shared" si="2"/>
        <v/>
      </c>
      <c r="I32" s="8"/>
      <c r="J32" s="7" t="str">
        <f t="shared" si="3"/>
        <v/>
      </c>
      <c r="K32" s="4" t="str">
        <f t="shared" si="4"/>
        <v/>
      </c>
      <c r="L32" s="4" t="str">
        <f t="shared" si="5"/>
        <v/>
      </c>
      <c r="M32" s="1">
        <f t="shared" si="6"/>
        <v>0</v>
      </c>
      <c r="N32" s="1"/>
      <c r="O32" s="1"/>
      <c r="P32" s="1"/>
      <c r="Q32" s="1"/>
    </row>
    <row r="33" spans="1:17" ht="15.5" x14ac:dyDescent="0.35">
      <c r="A33" s="7" t="s">
        <v>102</v>
      </c>
      <c r="B33" s="5" t="s">
        <v>64</v>
      </c>
      <c r="C33" s="8"/>
      <c r="D33" s="7" t="str">
        <f t="shared" si="0"/>
        <v/>
      </c>
      <c r="E33" s="8"/>
      <c r="F33" s="7" t="str">
        <f t="shared" si="1"/>
        <v/>
      </c>
      <c r="G33" s="8"/>
      <c r="H33" s="7" t="str">
        <f t="shared" si="2"/>
        <v/>
      </c>
      <c r="I33" s="8"/>
      <c r="J33" s="7" t="str">
        <f t="shared" si="3"/>
        <v/>
      </c>
      <c r="K33" s="4" t="str">
        <f t="shared" si="4"/>
        <v/>
      </c>
      <c r="L33" s="4" t="str">
        <f t="shared" si="5"/>
        <v/>
      </c>
      <c r="M33" s="1">
        <f t="shared" si="6"/>
        <v>0</v>
      </c>
      <c r="N33" s="1"/>
      <c r="O33" s="1"/>
      <c r="P33" s="1"/>
      <c r="Q33" s="1"/>
    </row>
    <row r="34" spans="1:17" ht="15.5" x14ac:dyDescent="0.35">
      <c r="A34" s="7" t="s">
        <v>103</v>
      </c>
      <c r="B34" s="5" t="s">
        <v>34</v>
      </c>
      <c r="C34" s="8"/>
      <c r="D34" s="7" t="str">
        <f t="shared" si="0"/>
        <v/>
      </c>
      <c r="E34" s="8"/>
      <c r="F34" s="7" t="str">
        <f t="shared" si="1"/>
        <v/>
      </c>
      <c r="G34" s="8"/>
      <c r="H34" s="7" t="str">
        <f t="shared" si="2"/>
        <v/>
      </c>
      <c r="I34" s="8"/>
      <c r="J34" s="7" t="str">
        <f t="shared" si="3"/>
        <v/>
      </c>
      <c r="K34" s="4" t="str">
        <f t="shared" si="4"/>
        <v/>
      </c>
      <c r="L34" s="4" t="str">
        <f t="shared" si="5"/>
        <v/>
      </c>
      <c r="M34" s="1">
        <f t="shared" si="6"/>
        <v>0</v>
      </c>
      <c r="N34" s="1"/>
      <c r="O34" s="1"/>
      <c r="P34" s="1"/>
      <c r="Q34" s="1"/>
    </row>
    <row r="35" spans="1:17" ht="15.5" x14ac:dyDescent="0.35">
      <c r="A35" s="7" t="s">
        <v>104</v>
      </c>
      <c r="B35" s="5" t="s">
        <v>31</v>
      </c>
      <c r="C35" s="8"/>
      <c r="D35" s="7" t="str">
        <f t="shared" si="0"/>
        <v/>
      </c>
      <c r="E35" s="8"/>
      <c r="F35" s="7" t="str">
        <f t="shared" si="1"/>
        <v/>
      </c>
      <c r="G35" s="8"/>
      <c r="H35" s="7" t="str">
        <f t="shared" si="2"/>
        <v/>
      </c>
      <c r="I35" s="8"/>
      <c r="J35" s="7" t="str">
        <f t="shared" si="3"/>
        <v/>
      </c>
      <c r="K35" s="4" t="str">
        <f t="shared" si="4"/>
        <v/>
      </c>
      <c r="L35" s="4" t="str">
        <f t="shared" si="5"/>
        <v/>
      </c>
      <c r="M35" s="1">
        <f t="shared" si="6"/>
        <v>0</v>
      </c>
      <c r="N35" s="1"/>
      <c r="O35" s="1"/>
      <c r="P35" s="1"/>
      <c r="Q35" s="1"/>
    </row>
    <row r="36" spans="1:17" ht="15.5" x14ac:dyDescent="0.35">
      <c r="A36" s="7" t="s">
        <v>105</v>
      </c>
      <c r="B36" s="5" t="s">
        <v>61</v>
      </c>
      <c r="C36" s="8"/>
      <c r="D36" s="7" t="str">
        <f t="shared" si="0"/>
        <v/>
      </c>
      <c r="E36" s="8"/>
      <c r="F36" s="7" t="str">
        <f t="shared" si="1"/>
        <v/>
      </c>
      <c r="G36" s="8"/>
      <c r="H36" s="7" t="str">
        <f t="shared" si="2"/>
        <v/>
      </c>
      <c r="I36" s="8"/>
      <c r="J36" s="7" t="str">
        <f t="shared" si="3"/>
        <v/>
      </c>
      <c r="K36" s="4" t="str">
        <f t="shared" si="4"/>
        <v/>
      </c>
      <c r="L36" s="4" t="str">
        <f t="shared" si="5"/>
        <v/>
      </c>
      <c r="M36" s="1">
        <f t="shared" si="6"/>
        <v>0</v>
      </c>
      <c r="N36" s="1"/>
      <c r="O36" s="1"/>
      <c r="P36" s="1"/>
      <c r="Q36" s="1"/>
    </row>
    <row r="37" spans="1:17" ht="15.5" x14ac:dyDescent="0.35">
      <c r="A37" s="7" t="s">
        <v>106</v>
      </c>
      <c r="B37" s="5" t="s">
        <v>20</v>
      </c>
      <c r="C37" s="8"/>
      <c r="D37" s="7" t="str">
        <f t="shared" si="0"/>
        <v/>
      </c>
      <c r="E37" s="8"/>
      <c r="F37" s="7" t="str">
        <f t="shared" si="1"/>
        <v/>
      </c>
      <c r="G37" s="8"/>
      <c r="H37" s="7" t="str">
        <f t="shared" si="2"/>
        <v/>
      </c>
      <c r="I37" s="8"/>
      <c r="J37" s="7" t="str">
        <f t="shared" si="3"/>
        <v/>
      </c>
      <c r="K37" s="4" t="str">
        <f t="shared" si="4"/>
        <v/>
      </c>
      <c r="L37" s="4" t="str">
        <f t="shared" si="5"/>
        <v/>
      </c>
      <c r="M37" s="1">
        <f t="shared" si="6"/>
        <v>0</v>
      </c>
      <c r="N37" s="1"/>
      <c r="O37" s="1"/>
      <c r="P37" s="1"/>
      <c r="Q37" s="1"/>
    </row>
    <row r="38" spans="1:17" ht="15.5" x14ac:dyDescent="0.35">
      <c r="A38" s="7" t="s">
        <v>107</v>
      </c>
      <c r="B38" s="5" t="s">
        <v>115</v>
      </c>
      <c r="C38" s="8"/>
      <c r="D38" s="7" t="str">
        <f t="shared" si="0"/>
        <v/>
      </c>
      <c r="E38" s="8"/>
      <c r="F38" s="7" t="str">
        <f t="shared" si="1"/>
        <v/>
      </c>
      <c r="G38" s="8"/>
      <c r="H38" s="7" t="str">
        <f t="shared" si="2"/>
        <v/>
      </c>
      <c r="I38" s="8"/>
      <c r="J38" s="7" t="str">
        <f t="shared" si="3"/>
        <v/>
      </c>
      <c r="K38" s="4" t="str">
        <f t="shared" si="4"/>
        <v/>
      </c>
      <c r="L38" s="4" t="str">
        <f t="shared" si="5"/>
        <v/>
      </c>
      <c r="M38" s="1">
        <f t="shared" si="6"/>
        <v>0</v>
      </c>
      <c r="N38" s="1"/>
      <c r="O38" s="1"/>
      <c r="P38" s="1"/>
      <c r="Q38" s="1"/>
    </row>
    <row r="39" spans="1:17" ht="15.5" x14ac:dyDescent="0.35">
      <c r="A39" s="7" t="s">
        <v>108</v>
      </c>
      <c r="B39" s="5" t="s">
        <v>25</v>
      </c>
      <c r="C39" s="8"/>
      <c r="D39" s="7" t="str">
        <f t="shared" si="0"/>
        <v/>
      </c>
      <c r="E39" s="8"/>
      <c r="F39" s="7" t="str">
        <f t="shared" si="1"/>
        <v/>
      </c>
      <c r="G39" s="8"/>
      <c r="H39" s="7" t="str">
        <f t="shared" si="2"/>
        <v/>
      </c>
      <c r="I39" s="8"/>
      <c r="J39" s="7" t="str">
        <f t="shared" si="3"/>
        <v/>
      </c>
      <c r="K39" s="4" t="str">
        <f t="shared" si="4"/>
        <v/>
      </c>
      <c r="L39" s="4" t="str">
        <f t="shared" si="5"/>
        <v/>
      </c>
      <c r="M39" s="1">
        <f t="shared" si="6"/>
        <v>0</v>
      </c>
      <c r="N39" s="1"/>
      <c r="O39" s="1"/>
      <c r="P39" s="1"/>
      <c r="Q39" s="1"/>
    </row>
    <row r="40" spans="1:17" ht="15.5" x14ac:dyDescent="0.35">
      <c r="A40" s="7" t="s">
        <v>109</v>
      </c>
      <c r="B40" s="5" t="s">
        <v>113</v>
      </c>
      <c r="C40" s="8"/>
      <c r="D40" s="7" t="str">
        <f t="shared" si="0"/>
        <v/>
      </c>
      <c r="E40" s="8"/>
      <c r="F40" s="7" t="str">
        <f t="shared" si="1"/>
        <v/>
      </c>
      <c r="G40" s="8"/>
      <c r="H40" s="7" t="str">
        <f t="shared" si="2"/>
        <v/>
      </c>
      <c r="I40" s="8"/>
      <c r="J40" s="7" t="str">
        <f t="shared" si="3"/>
        <v/>
      </c>
      <c r="K40" s="4" t="str">
        <f t="shared" si="4"/>
        <v/>
      </c>
      <c r="L40" s="4" t="str">
        <f t="shared" si="5"/>
        <v/>
      </c>
      <c r="M40" s="1">
        <f t="shared" si="6"/>
        <v>0</v>
      </c>
      <c r="N40" s="1"/>
      <c r="O40" s="1"/>
      <c r="P40" s="1"/>
      <c r="Q40" s="1"/>
    </row>
    <row r="41" spans="1:17" ht="15.5" x14ac:dyDescent="0.35">
      <c r="A41" s="7" t="s">
        <v>110</v>
      </c>
      <c r="B41" s="5" t="s">
        <v>71</v>
      </c>
      <c r="C41" s="8"/>
      <c r="D41" s="7" t="str">
        <f t="shared" si="0"/>
        <v/>
      </c>
      <c r="E41" s="8"/>
      <c r="F41" s="7" t="str">
        <f t="shared" si="1"/>
        <v/>
      </c>
      <c r="G41" s="8"/>
      <c r="H41" s="7" t="str">
        <f t="shared" si="2"/>
        <v/>
      </c>
      <c r="I41" s="8"/>
      <c r="J41" s="7" t="str">
        <f t="shared" si="3"/>
        <v/>
      </c>
      <c r="K41" s="4" t="str">
        <f t="shared" si="4"/>
        <v/>
      </c>
      <c r="L41" s="4" t="str">
        <f t="shared" si="5"/>
        <v/>
      </c>
      <c r="M41" s="1">
        <f t="shared" si="6"/>
        <v>0</v>
      </c>
      <c r="N41" s="1"/>
      <c r="O41" s="1"/>
      <c r="P41" s="1"/>
      <c r="Q41" s="1"/>
    </row>
    <row r="42" spans="1:17" ht="15.5" x14ac:dyDescent="0.35">
      <c r="A42" s="7" t="s">
        <v>111</v>
      </c>
      <c r="B42" s="5" t="s">
        <v>72</v>
      </c>
      <c r="C42" s="8"/>
      <c r="D42" s="7" t="str">
        <f t="shared" si="0"/>
        <v/>
      </c>
      <c r="E42" s="8"/>
      <c r="F42" s="7" t="str">
        <f t="shared" si="1"/>
        <v/>
      </c>
      <c r="G42" s="8"/>
      <c r="H42" s="7" t="str">
        <f t="shared" si="2"/>
        <v/>
      </c>
      <c r="I42" s="8"/>
      <c r="J42" s="7" t="str">
        <f t="shared" si="3"/>
        <v/>
      </c>
      <c r="K42" s="4" t="str">
        <f t="shared" si="4"/>
        <v/>
      </c>
      <c r="L42" s="4" t="str">
        <f t="shared" si="5"/>
        <v/>
      </c>
      <c r="M42" s="1">
        <f t="shared" si="6"/>
        <v>0</v>
      </c>
      <c r="N42" s="1"/>
      <c r="O42" s="1"/>
      <c r="P42" s="1"/>
      <c r="Q42" s="1"/>
    </row>
    <row r="43" spans="1:17" ht="15.5" x14ac:dyDescent="0.35">
      <c r="A43" s="7" t="s">
        <v>112</v>
      </c>
      <c r="B43" s="5" t="s">
        <v>22</v>
      </c>
      <c r="C43" s="8"/>
      <c r="D43" s="7" t="str">
        <f t="shared" si="0"/>
        <v/>
      </c>
      <c r="E43" s="8"/>
      <c r="F43" s="7" t="str">
        <f t="shared" si="1"/>
        <v/>
      </c>
      <c r="G43" s="8"/>
      <c r="H43" s="7" t="str">
        <f t="shared" si="2"/>
        <v/>
      </c>
      <c r="I43" s="8"/>
      <c r="J43" s="7" t="str">
        <f t="shared" si="3"/>
        <v/>
      </c>
      <c r="K43" s="4" t="str">
        <f t="shared" si="4"/>
        <v/>
      </c>
      <c r="L43" s="4" t="str">
        <f t="shared" si="5"/>
        <v/>
      </c>
      <c r="M43" s="1">
        <f t="shared" si="6"/>
        <v>0</v>
      </c>
      <c r="N43" s="1"/>
      <c r="O43" s="1"/>
      <c r="P43" s="1"/>
      <c r="Q43" s="1"/>
    </row>
    <row r="44" spans="1:17" ht="15.5" x14ac:dyDescent="0.35">
      <c r="A44" s="7" t="s">
        <v>114</v>
      </c>
      <c r="B44" s="5" t="s">
        <v>73</v>
      </c>
      <c r="C44" s="8"/>
      <c r="D44" s="7" t="str">
        <f t="shared" si="0"/>
        <v/>
      </c>
      <c r="E44" s="8"/>
      <c r="F44" s="7" t="str">
        <f t="shared" si="1"/>
        <v/>
      </c>
      <c r="G44" s="8"/>
      <c r="H44" s="7" t="str">
        <f t="shared" si="2"/>
        <v/>
      </c>
      <c r="I44" s="8"/>
      <c r="J44" s="7" t="str">
        <f t="shared" si="3"/>
        <v/>
      </c>
      <c r="K44" s="4" t="str">
        <f t="shared" si="4"/>
        <v/>
      </c>
      <c r="L44" s="4" t="str">
        <f t="shared" si="5"/>
        <v/>
      </c>
      <c r="M44" s="1">
        <f t="shared" si="6"/>
        <v>0</v>
      </c>
      <c r="N44" s="1"/>
      <c r="O44" s="1"/>
      <c r="P44" s="1"/>
      <c r="Q44" s="1"/>
    </row>
    <row r="45" spans="1:17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1"/>
      <c r="M48" s="1"/>
      <c r="N48" s="1"/>
      <c r="O48" s="1"/>
      <c r="P48" s="1"/>
      <c r="Q48" s="1"/>
    </row>
    <row r="49" spans="1:17" x14ac:dyDescent="0.35">
      <c r="A49" s="1"/>
      <c r="B49" s="10"/>
      <c r="C49" s="10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5">
      <c r="A50" s="1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"/>
      <c r="M50" s="1"/>
      <c r="N50" s="1"/>
      <c r="O50" s="1"/>
      <c r="P50" s="1"/>
      <c r="Q50" s="1"/>
    </row>
    <row r="51" spans="1:17" x14ac:dyDescent="0.35">
      <c r="A51" s="1"/>
      <c r="B51" s="1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35">
      <c r="A52" s="1"/>
      <c r="B52" s="1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35">
      <c r="A54" s="1"/>
      <c r="B54" s="28" t="s">
        <v>42</v>
      </c>
      <c r="C54" s="28"/>
      <c r="D54" s="28"/>
      <c r="E54" s="2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35">
      <c r="A55" s="1"/>
      <c r="B55" s="7" t="s">
        <v>43</v>
      </c>
      <c r="C55" s="7" t="s">
        <v>44</v>
      </c>
      <c r="D55" s="7" t="s">
        <v>45</v>
      </c>
      <c r="E55" s="7" t="s">
        <v>46</v>
      </c>
      <c r="F55" s="7" t="s">
        <v>47</v>
      </c>
      <c r="G55" s="7" t="s">
        <v>48</v>
      </c>
      <c r="H55" s="7" t="s">
        <v>49</v>
      </c>
      <c r="I55" s="7" t="s">
        <v>50</v>
      </c>
      <c r="J55" s="7" t="s">
        <v>51</v>
      </c>
      <c r="K55" s="7" t="s">
        <v>52</v>
      </c>
      <c r="L55" s="1"/>
      <c r="M55" s="1"/>
      <c r="N55" s="1"/>
      <c r="O55" s="1"/>
      <c r="P55" s="1"/>
      <c r="Q55" s="1"/>
    </row>
    <row r="56" spans="1:17" x14ac:dyDescent="0.35">
      <c r="A56" s="1"/>
      <c r="B56" s="7" t="s">
        <v>5</v>
      </c>
      <c r="C56" s="4">
        <f>COUNTIF($D$5:$D$51,"1")</f>
        <v>0</v>
      </c>
      <c r="D56" s="4">
        <f>COUNTIF($D$5:$D$51,"2")</f>
        <v>0</v>
      </c>
      <c r="E56" s="4">
        <f>COUNTIF($D$5:$D$51,"3")</f>
        <v>0</v>
      </c>
      <c r="F56" s="4">
        <f>COUNTIF($D$5:$D$51,"4")</f>
        <v>0</v>
      </c>
      <c r="G56" s="4">
        <f>COUNTIF($D$5:$D$51,"5")</f>
        <v>0</v>
      </c>
      <c r="H56" s="4">
        <f>COUNTIF($D$5:$D$51,"6")</f>
        <v>0</v>
      </c>
      <c r="I56" s="4">
        <f>COUNTIF($D$5:$D$51,"7")</f>
        <v>0</v>
      </c>
      <c r="J56" s="4">
        <f>COUNTIF($D$5:$D$51,"8")</f>
        <v>0</v>
      </c>
      <c r="K56" s="4">
        <f>COUNTIF($D$5:$D$51,"9")</f>
        <v>0</v>
      </c>
      <c r="L56" s="1"/>
      <c r="M56" s="1"/>
      <c r="N56" s="1"/>
      <c r="O56" s="1"/>
      <c r="P56" s="1"/>
      <c r="Q56" s="1"/>
    </row>
    <row r="57" spans="1:17" x14ac:dyDescent="0.35">
      <c r="A57" s="1"/>
      <c r="B57" s="7" t="s">
        <v>53</v>
      </c>
      <c r="C57" s="4">
        <f>COUNTIF($F$5:$F$51,"1")</f>
        <v>0</v>
      </c>
      <c r="D57" s="4">
        <f>COUNTIF($F$5:$F$51,"2")</f>
        <v>0</v>
      </c>
      <c r="E57" s="4">
        <f>COUNTIF($F$5:$F$51,"3")</f>
        <v>0</v>
      </c>
      <c r="F57" s="4">
        <f>COUNTIF($F$5:$F$51,"4")</f>
        <v>0</v>
      </c>
      <c r="G57" s="4">
        <f>COUNTIF($F$5:$F$51,"5")</f>
        <v>0</v>
      </c>
      <c r="H57" s="4">
        <f>COUNTIF($F$5:$F$51,"6")</f>
        <v>0</v>
      </c>
      <c r="I57" s="4">
        <f>COUNTIF($F$5:$F$51,"7")</f>
        <v>0</v>
      </c>
      <c r="J57" s="4">
        <f>COUNTIF($F$5:$F$51,"8")</f>
        <v>0</v>
      </c>
      <c r="K57" s="4">
        <f>COUNTIF($F$5:$F$51,"9")</f>
        <v>0</v>
      </c>
      <c r="L57" s="1"/>
      <c r="M57" s="1"/>
      <c r="N57" s="1"/>
      <c r="O57" s="1"/>
      <c r="P57" s="1"/>
      <c r="Q57" s="1"/>
    </row>
    <row r="58" spans="1:17" x14ac:dyDescent="0.35">
      <c r="A58" s="1"/>
      <c r="B58" s="7" t="s">
        <v>8</v>
      </c>
      <c r="C58" s="4">
        <f>COUNTIF($H$5:$H$51,"1")</f>
        <v>0</v>
      </c>
      <c r="D58" s="4">
        <f>COUNTIF($H$5:$H$51,"2")</f>
        <v>0</v>
      </c>
      <c r="E58" s="4">
        <f>COUNTIF($H$5:$H$51,"3")</f>
        <v>0</v>
      </c>
      <c r="F58" s="4">
        <f>COUNTIF($H$5:$H$51,"4")</f>
        <v>0</v>
      </c>
      <c r="G58" s="4">
        <f>COUNTIF($H$5:$H$51,"5")</f>
        <v>0</v>
      </c>
      <c r="H58" s="4">
        <f>COUNTIF($H$5:$H$51,"6")</f>
        <v>0</v>
      </c>
      <c r="I58" s="4">
        <f>COUNTIF($H$5:$H$51,"7")</f>
        <v>0</v>
      </c>
      <c r="J58" s="4">
        <f>COUNTIF($H$5:$H$51,"8")</f>
        <v>0</v>
      </c>
      <c r="K58" s="4">
        <f>COUNTIF($H$5:$H$51,"9")</f>
        <v>0</v>
      </c>
      <c r="L58" s="1"/>
      <c r="M58" s="1"/>
      <c r="N58" s="1"/>
      <c r="O58" s="1"/>
      <c r="P58" s="1"/>
      <c r="Q58" s="1"/>
    </row>
    <row r="59" spans="1:17" x14ac:dyDescent="0.35">
      <c r="A59" s="1"/>
      <c r="B59" s="7" t="s">
        <v>9</v>
      </c>
      <c r="C59" s="4">
        <f>COUNTIF($J$5:$J$51,"1")</f>
        <v>0</v>
      </c>
      <c r="D59" s="4">
        <f>COUNTIF($J$5:$J$51,"2")</f>
        <v>0</v>
      </c>
      <c r="E59" s="4">
        <f>COUNTIF($J$5:$J$51,"3")</f>
        <v>0</v>
      </c>
      <c r="F59" s="4">
        <f>COUNTIF($J$5:$J$51,"4")</f>
        <v>0</v>
      </c>
      <c r="G59" s="4">
        <f>COUNTIF($J$5:$J$51,"5")</f>
        <v>0</v>
      </c>
      <c r="H59" s="4">
        <f>COUNTIF($J$5:$J$51,"6")</f>
        <v>0</v>
      </c>
      <c r="I59" s="4">
        <f>COUNTIF($J$5:$J$51,"7")</f>
        <v>0</v>
      </c>
      <c r="J59" s="4">
        <f>COUNTIF($J$5:$J$51,"8")</f>
        <v>0</v>
      </c>
      <c r="K59" s="4">
        <f>COUNTIF($J$5:$J$51,"9")</f>
        <v>0</v>
      </c>
      <c r="L59" s="1"/>
      <c r="M59" s="1"/>
      <c r="N59" s="1"/>
      <c r="O59" s="1"/>
      <c r="P59" s="1"/>
      <c r="Q59" s="1"/>
    </row>
    <row r="60" spans="1:17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35">
      <c r="A61" s="1"/>
      <c r="B61" s="28" t="s">
        <v>54</v>
      </c>
      <c r="C61" s="28"/>
      <c r="D61" s="28"/>
      <c r="E61" s="2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35">
      <c r="A62" s="1"/>
      <c r="B62" s="7" t="s">
        <v>43</v>
      </c>
      <c r="C62" s="7" t="s">
        <v>60</v>
      </c>
      <c r="D62" s="7" t="s">
        <v>55</v>
      </c>
      <c r="E62" s="7" t="s">
        <v>56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35">
      <c r="A63" s="1"/>
      <c r="B63" s="7" t="s">
        <v>5</v>
      </c>
      <c r="C63" s="4" t="str">
        <f>IF(C5="","",AVERAGE($C$5:$C$51))</f>
        <v/>
      </c>
      <c r="D63" s="4" t="str">
        <f>IF(C5="","",MAX($C$5:$C$51))</f>
        <v/>
      </c>
      <c r="E63" s="4" t="str">
        <f>IF(C5="","",MIN($C$5:$C$51))</f>
        <v/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35">
      <c r="A64" s="1"/>
      <c r="B64" s="7" t="s">
        <v>53</v>
      </c>
      <c r="C64" s="4" t="str">
        <f>IF(E5="","",AVERAGE($E$5:$E$51))</f>
        <v/>
      </c>
      <c r="D64" s="4" t="str">
        <f>IF(E5="","",MAX($E$5:$E$51))</f>
        <v/>
      </c>
      <c r="E64" s="4" t="str">
        <f>IF(E5="","",MIN($E$5:$E$51))</f>
        <v/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35">
      <c r="A65" s="1"/>
      <c r="B65" s="7" t="s">
        <v>8</v>
      </c>
      <c r="C65" s="4" t="str">
        <f>IF(G5="","",AVERAGE($G$5:$G$51))</f>
        <v/>
      </c>
      <c r="D65" s="4" t="str">
        <f>IF(G5="","",MAX($G$5:$G$51))</f>
        <v/>
      </c>
      <c r="E65" s="4" t="str">
        <f>IF(G5="","",MIN($G$5:$G$51))</f>
        <v/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35">
      <c r="A66" s="1"/>
      <c r="B66" s="7" t="s">
        <v>9</v>
      </c>
      <c r="C66" s="4" t="str">
        <f>IF(I5="","",AVERAGE($I$5:$I$51))</f>
        <v/>
      </c>
      <c r="D66" s="4" t="str">
        <f>IF(I5="","",MAX($I$5:$I$51))</f>
        <v/>
      </c>
      <c r="E66" s="4" t="str">
        <f>IF(I5="","",MIN($I$5:$I$51))</f>
        <v/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35">
      <c r="A68" s="1"/>
      <c r="B68" s="29" t="s">
        <v>57</v>
      </c>
      <c r="C68" s="30"/>
      <c r="D68" s="30"/>
      <c r="E68" s="3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35">
      <c r="A69" s="1"/>
      <c r="B69" s="7" t="s">
        <v>6</v>
      </c>
      <c r="C69" s="29">
        <f>MIN($K$5:$K$51)</f>
        <v>0</v>
      </c>
      <c r="D69" s="30"/>
      <c r="E69" s="3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35">
      <c r="B70" s="7" t="s">
        <v>58</v>
      </c>
      <c r="C70" s="29" t="e">
        <f>INDEX($B$5:$B$51,MATCH(C69,$K$5:$K$51,0))</f>
        <v>#N/A</v>
      </c>
      <c r="D70" s="30"/>
      <c r="E70" s="31"/>
      <c r="F70" s="1"/>
      <c r="G70" s="1"/>
      <c r="H70" s="1"/>
      <c r="I70" s="1"/>
      <c r="J70" s="1"/>
      <c r="K70" s="1"/>
    </row>
    <row r="71" spans="1:17" x14ac:dyDescent="0.35">
      <c r="B71" s="7" t="s">
        <v>38</v>
      </c>
      <c r="C71" s="22" t="e">
        <f>INDEX($L$5:$L$44,MATCH(C69,$K$5:$K$44,0))</f>
        <v>#N/A</v>
      </c>
      <c r="D71" s="23"/>
      <c r="E71" s="24"/>
      <c r="F71" s="1"/>
      <c r="G71" s="1"/>
      <c r="H71" s="1"/>
      <c r="I71" s="1"/>
      <c r="J71" s="1"/>
      <c r="K71" s="1"/>
    </row>
  </sheetData>
  <sortState ref="B5:M44">
    <sortCondition ref="B5"/>
  </sortState>
  <mergeCells count="11">
    <mergeCell ref="P2:Q2"/>
    <mergeCell ref="A3:J3"/>
    <mergeCell ref="K3:L3"/>
    <mergeCell ref="A1:L1"/>
    <mergeCell ref="A2:J2"/>
    <mergeCell ref="C70:E70"/>
    <mergeCell ref="C71:E71"/>
    <mergeCell ref="B54:E54"/>
    <mergeCell ref="B61:E61"/>
    <mergeCell ref="B68:E68"/>
    <mergeCell ref="C69:E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SOUTH</vt:lpstr>
      <vt:lpstr>NORTH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2025-10-11T15:17:48Z</dcterms:modified>
</cp:coreProperties>
</file>